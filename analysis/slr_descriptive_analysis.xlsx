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413cf909a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1af99be126542c8"/>
    <x:sheet xmlns:r="http://schemas.openxmlformats.org/officeDocument/2006/relationships" name="Studies" sheetId="2" r:id="Rebdedd96260547e3"/>
    <x:sheet xmlns:r="http://schemas.openxmlformats.org/officeDocument/2006/relationships" name="QA Summary" sheetId="3" r:id="R4fe97d6b78be4731"/>
    <x:sheet xmlns:r="http://schemas.openxmlformats.org/officeDocument/2006/relationships" name="Study Families" sheetId="4" r:id="Rc9647ca3c0094ee1"/>
    <x:sheet xmlns:r="http://schemas.openxmlformats.org/officeDocument/2006/relationships" name="Analysis Notes" sheetId="5" r:id="R45b9bef82cdf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5dd2dfe6d4553" /><Relationship Type="http://schemas.openxmlformats.org/officeDocument/2006/relationships/theme" Target="/xl/theme/theme1.xml" Id="R035998ab1fdc410d" /><Relationship Type="http://schemas.openxmlformats.org/officeDocument/2006/relationships/sharedStrings" Target="/xl/sharedStrings.xml" Id="Rfb39226462a84abc" /><Relationship Type="http://schemas.openxmlformats.org/officeDocument/2006/relationships/worksheet" Target="/xl/worksheets/sheet1.xml" Id="R01af99be126542c8" /><Relationship Type="http://schemas.openxmlformats.org/officeDocument/2006/relationships/worksheet" Target="/xl/worksheets/sheet2.xml" Id="Rebdedd96260547e3" /><Relationship Type="http://schemas.openxmlformats.org/officeDocument/2006/relationships/worksheet" Target="/xl/worksheets/sheet3.xml" Id="R4fe97d6b78be4731" /><Relationship Type="http://schemas.openxmlformats.org/officeDocument/2006/relationships/worksheet" Target="/xl/worksheets/sheet4.xml" Id="Rc9647ca3c0094ee1" /><Relationship Type="http://schemas.openxmlformats.org/officeDocument/2006/relationships/worksheet" Target="/xl/worksheets/sheet5.xml" Id="R45b9bef82cdf4d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8f29ca7de94b11" /><Relationship Type="http://schemas.openxmlformats.org/officeDocument/2006/relationships/chart" Target="/xl/drawings/charts/chart2.xml" Id="Rb7633f3440544952" /><Relationship Type="http://schemas.openxmlformats.org/officeDocument/2006/relationships/chart" Target="/xl/drawings/charts/chart3.xml" Id="R985d09e7aeff4e27" /><Relationship Type="http://schemas.openxmlformats.org/officeDocument/2006/relationships/chart" Target="/xl/drawings/charts/chart4.xml" Id="Ra1da4c54b81e4e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Publications by Year</a:t>
            </a:r>
          </a:p>
        </c:rich>
      </c:tx>
    </c:title>
    <c:plotArea>
      <c:lineChart>
        <c:grouping val="standard"/>
        <c:ser>
          <c:idx val="0"/>
          <c:order val="0"/>
          <c:tx>
            <c:v>Publications</c:v>
          </c:tx>
          <c:marker>
            <c:symbol val="none"/>
          </c:marker>
          <c:cat>
            <c:strRef>
              <c:f>'Overview'!$A$13:$A$27</c:f>
              <c:strCache>
                <c:ptCount val="0"/>
              </c:strCache>
            </c:strRef>
          </c:cat>
          <c:val>
            <c:numRef>
              <c:f>'Overview'!$B$13:$B$27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Primary Application Domain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Publications</c:v>
          </c:tx>
          <c:cat>
            <c:strRef>
              <c:f>'Overview'!$D$13:$D$18</c:f>
              <c:strCache>
                <c:ptCount val="0"/>
              </c:strCache>
            </c:strRef>
          </c:cat>
          <c:val>
            <c:numRef>
              <c:f>'Overview'!$E$13:$E$18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MAS Architecture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Publications</c:v>
          </c:tx>
          <c:cat>
            <c:strRef>
              <c:f>'Overview'!$G$13:$G$17</c:f>
              <c:strCache>
                <c:ptCount val="0"/>
              </c:strCache>
            </c:strRef>
          </c:cat>
          <c:val>
            <c:numRef>
              <c:f>'Overview'!$H$13:$H$17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Sustainability Addressed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'Overview'!$G$23:$G$25</c:f>
              <c:strCache>
                <c:ptCount val="0"/>
              </c:strCache>
            </c:strRef>
          </c:cat>
          <c:val>
            <c:numRef>
              <c:f>'Overview'!$H$23:$H$25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8f29ca7de94b1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633f344054495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25</xdr:col>
      <xdr:colOff>0</xdr:colOff>
      <xdr:row>16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5d09e7aeff4e27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25</xdr:col>
      <xdr:colOff>0</xdr:colOff>
      <xdr:row>33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da4c54b81e4e7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udiesTable" displayName="StudiesTable" ref="A1:M35" headerRowCount="1" totalsRowCount="0" totalsRowShown="0">
  <x:tableColumns count="13">
    <x:tableColumn id="1" name="Study_ID"/>
    <x:tableColumn id="2" name="Year"/>
    <x:tableColumn id="3" name="Title"/>
    <x:tableColumn id="4" name="Primary_Domain"/>
    <x:tableColumn id="5" name="Study_Family_ID"/>
    <x:tableColumn id="6" name="Publication_Type"/>
    <x:tableColumn id="7" name="MAS_Architecture"/>
    <x:tableColumn id="8" name="Implementation_Maturity"/>
    <x:tableColumn id="9" name="Sustainability_Addressed"/>
    <x:tableColumn id="10" name="Real_World_Deployment"/>
    <x:tableColumn id="11" name="Code_Available"/>
    <x:tableColumn id="12" name="Data_Available"/>
    <x:tableColumn id="13" name="QA_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8458f8bd2e40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041e270d5f4b3e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.880000114440918" hidden="0" customWidth="1"/>
    <x:col min="4" max="4" width="35" hidden="0" customWidth="1"/>
    <x:col min="5" max="5" width="9.880000114440918" hidden="0" customWidth="1"/>
    <x:col min="7" max="7" width="28" hidden="0" customWidth="1"/>
    <x:col min="8" max="8" width="9.880000114440918" hidden="0" customWidth="1"/>
  </x:cols>
  <x:sheetData>
    <x:row r="1" ht="28" customHeight="1">
      <x:c r="A1" s="26" t="str">
        <x:v>SLR Dataset Validation &amp; Descriptive Analysis</x:v>
      </x:c>
      <x:c r="B1" s="9"/>
      <x:c r="C1" s="9"/>
      <x:c r="D1" s="9"/>
      <x:c r="E1" s="9"/>
      <x:c r="F1" s="9"/>
      <x:c r="G1" s="9"/>
      <x:c r="H1" s="9"/>
    </x:row>
    <x:row r="2">
      <x:c r="A2" s="9"/>
      <x:c r="B2" s="9"/>
      <x:c r="C2" s="9"/>
      <x:c r="D2" s="9"/>
      <x:c r="E2" s="9"/>
      <x:c r="F2" s="9"/>
      <x:c r="G2" s="9"/>
      <x:c r="H2" s="9"/>
    </x:row>
    <x:row r="3">
      <x:c r="A3" s="27" t="str">
        <x:v>KPI</x:v>
      </x:c>
      <x:c r="B3" s="27" t="str">
        <x:v>Value</x:v>
      </x:c>
      <x:c r="C3" s="9"/>
      <x:c r="D3" s="9"/>
      <x:c r="E3" s="9"/>
      <x:c r="F3" s="9"/>
      <x:c r="G3" s="9"/>
      <x:c r="H3" s="9"/>
    </x:row>
    <x:row r="4">
      <x:c r="A4" s="9" t="str">
        <x:v>Included publications</x:v>
      </x:c>
      <x:c r="B4" s="9" t="n">
        <x:v>34</x:v>
      </x:c>
      <x:c r="C4" s="9"/>
      <x:c r="D4" s="9"/>
      <x:c r="E4" s="9"/>
      <x:c r="F4" s="9"/>
      <x:c r="G4" s="9"/>
      <x:c r="H4" s="9"/>
    </x:row>
    <x:row r="5">
      <x:c r="A5" s="9" t="str">
        <x:v>Distinct study families</x:v>
      </x:c>
      <x:c r="B5" s="9" t="n">
        <x:v>27</x:v>
      </x:c>
      <x:c r="C5" s="9"/>
      <x:c r="D5" s="9"/>
      <x:c r="E5" s="9"/>
      <x:c r="F5" s="9"/>
      <x:c r="G5" s="9"/>
      <x:c r="H5" s="9"/>
    </x:row>
    <x:row r="6">
      <x:c r="A6" s="9" t="str">
        <x:v>Multi-publication families</x:v>
      </x:c>
      <x:c r="B6" s="9" t="n">
        <x:v>5</x:v>
      </x:c>
      <x:c r="C6" s="9"/>
      <x:c r="D6" s="9"/>
      <x:c r="E6" s="9"/>
      <x:c r="F6" s="9"/>
      <x:c r="G6" s="9"/>
      <x:c r="H6" s="9"/>
    </x:row>
    <x:row r="7">
      <x:c r="A7" s="9" t="str">
        <x:v>Mean QA score</x:v>
      </x:c>
      <x:c r="B7" s="28" t="n">
        <x:v>12.764705882352942</x:v>
      </x:c>
      <x:c r="C7" s="9"/>
      <x:c r="D7" s="9"/>
      <x:c r="E7" s="9"/>
      <x:c r="F7" s="9"/>
      <x:c r="G7" s="9"/>
      <x:c r="H7" s="9"/>
    </x:row>
    <x:row r="8">
      <x:c r="A8" s="9" t="str">
        <x:v>Median QA score</x:v>
      </x:c>
      <x:c r="B8" s="28" t="n">
        <x:v>13</x:v>
      </x:c>
      <x:c r="C8" s="9"/>
      <x:c r="D8" s="9"/>
      <x:c r="E8" s="9"/>
      <x:c r="F8" s="9"/>
      <x:c r="G8" s="9"/>
      <x:c r="H8" s="9"/>
    </x:row>
    <x:row r="9">
      <x:c r="A9" s="9" t="str">
        <x:v>Simulation-maturity studies</x:v>
      </x:c>
      <x:c r="B9" s="9" t="n">
        <x:v>27</x:v>
      </x:c>
      <x:c r="C9" s="9"/>
      <x:c r="D9" s="9"/>
      <x:c r="E9" s="9"/>
      <x:c r="F9" s="9"/>
      <x:c r="G9" s="9"/>
      <x:c r="H9" s="9"/>
    </x:row>
    <x:row r="10">
      <x:c r="A10" s="9"/>
      <x:c r="B10" s="9"/>
      <x:c r="C10" s="9"/>
      <x:c r="D10" s="9"/>
      <x:c r="E10" s="9"/>
      <x:c r="F10" s="9"/>
      <x:c r="G10" s="9"/>
      <x:c r="H10" s="9"/>
    </x:row>
    <x:row r="11">
      <x:c r="A11" s="9"/>
      <x:c r="B11" s="9"/>
      <x:c r="C11" s="9"/>
      <x:c r="D11" s="9"/>
      <x:c r="E11" s="9"/>
      <x:c r="F11" s="9"/>
      <x:c r="G11" s="9"/>
      <x:c r="H11" s="9"/>
    </x:row>
    <x:row r="12">
      <x:c r="A12" s="27" t="str">
        <x:v>Year</x:v>
      </x:c>
      <x:c r="B12" s="27" t="str">
        <x:v>Publications</x:v>
      </x:c>
      <x:c r="C12" s="9"/>
      <x:c r="D12" s="27" t="str">
        <x:v>Primary analytical domain</x:v>
      </x:c>
      <x:c r="E12" s="27" t="str">
        <x:v>Publications</x:v>
      </x:c>
      <x:c r="F12" s="9"/>
      <x:c r="G12" s="27" t="str">
        <x:v>MAS architecture</x:v>
      </x:c>
      <x:c r="H12" s="27" t="str">
        <x:v>Publications</x:v>
      </x:c>
    </x:row>
    <x:row r="13">
      <x:c r="A13" s="9" t="n">
        <x:v>2010</x:v>
      </x:c>
      <x:c r="B13" s="9" t="n">
        <x:f>COUNTIF(Studies!$B$2:$B$35,A13)</x:f>
        <x:v>1</x:v>
      </x:c>
      <x:c r="C13" s="9"/>
      <x:c r="D13" s="9" t="str">
        <x:v>Irrigation &amp; water management</x:v>
      </x:c>
      <x:c r="E13" s="9" t="n">
        <x:f>COUNTIF(Studies!$D$2:$D$35,D13)</x:f>
        <x:v>14</x:v>
      </x:c>
      <x:c r="F13" s="9"/>
      <x:c r="G13" s="9" t="str">
        <x:v>Decentralised</x:v>
      </x:c>
      <x:c r="H13" s="9" t="n">
        <x:f>COUNTIF(Studies!$G$2:$G$35,G13)</x:f>
        <x:v>10</x:v>
      </x:c>
    </x:row>
    <x:row r="14">
      <x:c r="A14" s="9" t="n">
        <x:v>2011</x:v>
      </x:c>
      <x:c r="B14" s="9" t="n">
        <x:f>COUNTIF(Studies!$B$2:$B$35,A14)</x:f>
        <x:v>1</x:v>
      </x:c>
      <x:c r="C14" s="9"/>
      <x:c r="D14" s="9" t="str">
        <x:v>Livestock / integrated farming</x:v>
      </x:c>
      <x:c r="E14" s="9" t="n">
        <x:f>COUNTIF(Studies!$D$2:$D$35,D14)</x:f>
        <x:v>5</x:v>
      </x:c>
      <x:c r="F14" s="9"/>
      <x:c r="G14" s="9" t="str">
        <x:v>Hybrid</x:v>
      </x:c>
      <x:c r="H14" s="9" t="n">
        <x:f>COUNTIF(Studies!$G$2:$G$35,G14)</x:f>
        <x:v>8</x:v>
      </x:c>
    </x:row>
    <x:row r="15">
      <x:c r="A15" s="9" t="n">
        <x:v>2012</x:v>
      </x:c>
      <x:c r="B15" s="9" t="n">
        <x:f>COUNTIF(Studies!$B$2:$B$35,A15)</x:f>
        <x:v>1</x:v>
      </x:c>
      <x:c r="C15" s="9"/>
      <x:c r="D15" s="9" t="str">
        <x:v>Workforce / robotics / task allocation</x:v>
      </x:c>
      <x:c r="E15" s="9" t="n">
        <x:f>COUNTIF(Studies!$D$2:$D$35,D15)</x:f>
        <x:v>5</x:v>
      </x:c>
      <x:c r="F15" s="9"/>
      <x:c r="G15" s="9" t="str">
        <x:v>Centralised</x:v>
      </x:c>
      <x:c r="H15" s="9" t="n">
        <x:f>COUNTIF(Studies!$G$2:$G$35,G15)</x:f>
        <x:v>7</x:v>
      </x:c>
    </x:row>
    <x:row r="16">
      <x:c r="A16" s="9" t="n">
        <x:v>2013</x:v>
      </x:c>
      <x:c r="B16" s="9" t="n">
        <x:f>COUNTIF(Studies!$B$2:$B$35,A16)</x:f>
        <x:v>1</x:v>
      </x:c>
      <x:c r="C16" s="9"/>
      <x:c r="D16" s="9" t="str">
        <x:v>Crop / farm decision &amp; planning</x:v>
      </x:c>
      <x:c r="E16" s="9" t="n">
        <x:f>COUNTIF(Studies!$D$2:$D$35,D16)</x:f>
        <x:v>4</x:v>
      </x:c>
      <x:c r="F16" s="9"/>
      <x:c r="G16" s="9" t="str">
        <x:v>Hierarchical</x:v>
      </x:c>
      <x:c r="H16" s="9" t="n">
        <x:f>COUNTIF(Studies!$G$2:$G$35,G16)</x:f>
        <x:v>7</x:v>
      </x:c>
    </x:row>
    <x:row r="17">
      <x:c r="A17" s="9" t="n">
        <x:v>2014</x:v>
      </x:c>
      <x:c r="B17" s="9" t="n">
        <x:f>COUNTIF(Studies!$B$2:$B$35,A17)</x:f>
        <x:v>2</x:v>
      </x:c>
      <x:c r="C17" s="9"/>
      <x:c r="D17" s="9" t="str">
        <x:v>Energy management / trading</x:v>
      </x:c>
      <x:c r="E17" s="9" t="n">
        <x:f>COUNTIF(Studies!$D$2:$D$35,D17)</x:f>
        <x:v>4</x:v>
      </x:c>
      <x:c r="F17" s="9"/>
      <x:c r="G17" s="9" t="str">
        <x:v>Distributed</x:v>
      </x:c>
      <x:c r="H17" s="9" t="n">
        <x:f>COUNTIF(Studies!$G$2:$G$35,G17)</x:f>
        <x:v>2</x:v>
      </x:c>
    </x:row>
    <x:row r="18">
      <x:c r="A18" s="9" t="n">
        <x:v>2017</x:v>
      </x:c>
      <x:c r="B18" s="9" t="n">
        <x:f>COUNTIF(Studies!$B$2:$B$35,A18)</x:f>
        <x:v>1</x:v>
      </x:c>
      <x:c r="C18" s="9"/>
      <x:c r="D18" s="9" t="str">
        <x:v>Nutrient / manure management</x:v>
      </x:c>
      <x:c r="E18" s="9" t="n">
        <x:f>COUNTIF(Studies!$D$2:$D$35,D18)</x:f>
        <x:v>2</x:v>
      </x:c>
      <x:c r="F18" s="9"/>
      <x:c r="G18" s="9"/>
      <x:c r="H18" s="9"/>
    </x:row>
    <x:row r="19">
      <x:c r="A19" s="9" t="n">
        <x:v>2018</x:v>
      </x:c>
      <x:c r="B19" s="9" t="n">
        <x:f>COUNTIF(Studies!$B$2:$B$35,A19)</x:f>
        <x:v>2</x:v>
      </x:c>
      <x:c r="C19" s="9"/>
      <x:c r="D19" s="9"/>
      <x:c r="E19" s="9"/>
      <x:c r="F19" s="9"/>
      <x:c r="G19" s="9"/>
      <x:c r="H19" s="9"/>
    </x:row>
    <x:row r="20">
      <x:c r="A20" s="9" t="n">
        <x:v>2019</x:v>
      </x:c>
      <x:c r="B20" s="9" t="n">
        <x:f>COUNTIF(Studies!$B$2:$B$35,A20)</x:f>
        <x:v>3</x:v>
      </x:c>
      <x:c r="C20" s="9"/>
      <x:c r="D20" s="9"/>
      <x:c r="E20" s="9"/>
      <x:c r="F20" s="9"/>
      <x:c r="G20" s="9"/>
      <x:c r="H20" s="9"/>
    </x:row>
    <x:row r="21">
      <x:c r="A21" s="9" t="n">
        <x:v>2020</x:v>
      </x:c>
      <x:c r="B21" s="9" t="n">
        <x:f>COUNTIF(Studies!$B$2:$B$35,A21)</x:f>
        <x:v>1</x:v>
      </x:c>
      <x:c r="C21" s="9"/>
      <x:c r="D21" s="9"/>
      <x:c r="E21" s="9"/>
      <x:c r="F21" s="9"/>
      <x:c r="G21" s="9"/>
      <x:c r="H21" s="9"/>
    </x:row>
    <x:row r="22">
      <x:c r="A22" s="9" t="n">
        <x:v>2021</x:v>
      </x:c>
      <x:c r="B22" s="9" t="n">
        <x:f>COUNTIF(Studies!$B$2:$B$35,A22)</x:f>
        <x:v>1</x:v>
      </x:c>
      <x:c r="C22" s="9"/>
      <x:c r="D22" s="27" t="str">
        <x:v>Implementation maturity</x:v>
      </x:c>
      <x:c r="E22" s="27" t="str">
        <x:v>Count</x:v>
      </x:c>
      <x:c r="F22" s="9"/>
      <x:c r="G22" s="27" t="str">
        <x:v>Sustainability</x:v>
      </x:c>
      <x:c r="H22" s="27" t="str">
        <x:v>Count</x:v>
      </x:c>
    </x:row>
    <x:row r="23">
      <x:c r="A23" s="9" t="n">
        <x:v>2022</x:v>
      </x:c>
      <x:c r="B23" s="9" t="n">
        <x:f>COUNTIF(Studies!$B$2:$B$35,A23)</x:f>
        <x:v>4</x:v>
      </x:c>
      <x:c r="C23" s="9"/>
      <x:c r="D23" s="9" t="str">
        <x:v>Simulation</x:v>
      </x:c>
      <x:c r="E23" s="9" t="n">
        <x:f>COUNTIF(Studies!$H$2:$H$35,D23)</x:f>
        <x:v>27</x:v>
      </x:c>
      <x:c r="F23" s="9"/>
      <x:c r="G23" s="9" t="str">
        <x:v>Direct</x:v>
      </x:c>
      <x:c r="H23" s="9" t="n">
        <x:f>COUNTIF(Studies!$I$2:$I$35,G23)</x:f>
        <x:v>21</x:v>
      </x:c>
    </x:row>
    <x:row r="24">
      <x:c r="A24" s="9" t="n">
        <x:v>2023</x:v>
      </x:c>
      <x:c r="B24" s="9" t="n">
        <x:f>COUNTIF(Studies!$B$2:$B$35,A24)</x:f>
        <x:v>4</x:v>
      </x:c>
      <x:c r="C24" s="9"/>
      <x:c r="D24" s="9" t="str">
        <x:v>Prototype</x:v>
      </x:c>
      <x:c r="E24" s="9" t="n">
        <x:f>COUNTIF(Studies!$H$2:$H$35,D24)</x:f>
        <x:v>4</x:v>
      </x:c>
      <x:c r="F24" s="9"/>
      <x:c r="G24" s="9" t="str">
        <x:v>Indirect</x:v>
      </x:c>
      <x:c r="H24" s="9" t="n">
        <x:f>COUNTIF(Studies!$I$2:$I$35,G24)</x:f>
        <x:v>11</x:v>
      </x:c>
    </x:row>
    <x:row r="25">
      <x:c r="A25" s="9" t="n">
        <x:v>2024</x:v>
      </x:c>
      <x:c r="B25" s="9" t="n">
        <x:f>COUNTIF(Studies!$B$2:$B$35,A25)</x:f>
        <x:v>6</x:v>
      </x:c>
      <x:c r="C25" s="9"/>
      <x:c r="D25" s="9" t="str">
        <x:v>Field pilot</x:v>
      </x:c>
      <x:c r="E25" s="9" t="n">
        <x:f>COUNTIF(Studies!$H$2:$H$35,D25)</x:f>
        <x:v>2</x:v>
      </x:c>
      <x:c r="F25" s="9"/>
      <x:c r="G25" s="9" t="str">
        <x:v>Not addressed</x:v>
      </x:c>
      <x:c r="H25" s="9" t="n">
        <x:f>COUNTIF(Studies!$I$2:$I$35,G25)</x:f>
        <x:v>2</x:v>
      </x:c>
    </x:row>
    <x:row r="26">
      <x:c r="A26" s="9" t="n">
        <x:v>2025</x:v>
      </x:c>
      <x:c r="B26" s="9" t="n">
        <x:f>COUNTIF(Studies!$B$2:$B$35,A26)</x:f>
        <x:v>1</x:v>
      </x:c>
      <x:c r="C26" s="9"/>
      <x:c r="D26" s="9" t="str">
        <x:v>Controlled experiment</x:v>
      </x:c>
      <x:c r="E26" s="9" t="n">
        <x:f>COUNTIF(Studies!$H$2:$H$35,D26)</x:f>
        <x:v>1</x:v>
      </x:c>
      <x:c r="F26" s="9"/>
      <x:c r="G26" s="9"/>
      <x:c r="H26" s="9"/>
    </x:row>
    <x:row r="27">
      <x:c r="A27" s="9" t="n">
        <x:v>2026</x:v>
      </x:c>
      <x:c r="B27" s="9" t="n">
        <x:f>COUNTIF(Studies!$B$2:$B$35,A27)</x:f>
        <x:v>5</x:v>
      </x:c>
      <x:c r="C27" s="9"/>
      <x:c r="D27" s="9"/>
      <x:c r="E27" s="9"/>
      <x:c r="F27" s="9"/>
      <x:c r="G27" s="9"/>
      <x:c r="H27" s="9"/>
    </x:row>
    <x:row r="28">
      <x:c r="A28" s="9"/>
      <x:c r="B28" s="9"/>
      <x:c r="C28" s="9"/>
      <x:c r="D28" s="9"/>
      <x:c r="E28" s="9"/>
      <x:c r="F28" s="9"/>
      <x:c r="G28" s="9"/>
      <x:c r="H28" s="9"/>
    </x:row>
    <x:row r="29">
      <x:c r="A29" s="9"/>
      <x:c r="B29" s="9"/>
      <x:c r="C29" s="9"/>
      <x:c r="D29" s="9"/>
      <x:c r="E29" s="9"/>
      <x:c r="F29" s="9"/>
      <x:c r="G29" s="9"/>
      <x:c r="H29" s="9"/>
    </x:row>
    <x:row r="30">
      <x:c r="A30" s="9"/>
      <x:c r="B30" s="9"/>
      <x:c r="C30" s="9"/>
      <x:c r="D30" s="9"/>
      <x:c r="E30" s="9"/>
      <x:c r="F30" s="9"/>
      <x:c r="G30" s="9"/>
      <x:c r="H30" s="9"/>
    </x:row>
    <x:row r="31">
      <x:c r="A31" s="9"/>
      <x:c r="B31" s="9"/>
      <x:c r="C31" s="9"/>
      <x:c r="D31" s="9"/>
      <x:c r="E31" s="9"/>
      <x:c r="F31" s="9"/>
      <x:c r="G31" s="9"/>
      <x:c r="H31" s="9"/>
    </x:row>
    <x:row r="32">
      <x:c r="A32" s="27" t="str">
        <x:v>Deployment / reproducibility</x:v>
      </x:c>
      <x:c r="B32" s="27" t="str">
        <x:v>Count</x:v>
      </x:c>
      <x:c r="C32" s="9"/>
      <x:c r="D32" s="9"/>
      <x:c r="E32" s="9"/>
      <x:c r="F32" s="9"/>
      <x:c r="G32" s="9"/>
      <x:c r="H32" s="9"/>
    </x:row>
    <x:row r="33">
      <x:c r="A33" s="9" t="str">
        <x:v>Real-world deployment = Yes</x:v>
      </x:c>
      <x:c r="B33" s="9" t="n">
        <x:f>COUNTIF(Studies!$J$2:$J$35,"Yes")</x:f>
        <x:v>1</x:v>
      </x:c>
      <x:c r="C33" s="9"/>
      <x:c r="D33" s="9"/>
      <x:c r="E33" s="9"/>
      <x:c r="F33" s="9"/>
      <x:c r="G33" s="9"/>
      <x:c r="H33" s="9"/>
    </x:row>
    <x:row r="34">
      <x:c r="A34" s="9" t="str">
        <x:v>Real-world deployment = Partial</x:v>
      </x:c>
      <x:c r="B34" s="9" t="n">
        <x:f>COUNTIF(Studies!$J$2:$J$35,"Partial")</x:f>
        <x:v>1</x:v>
      </x:c>
      <x:c r="C34" s="9"/>
      <x:c r="D34" s="9"/>
      <x:c r="E34" s="9"/>
      <x:c r="F34" s="9"/>
      <x:c r="G34" s="9"/>
      <x:c r="H34" s="9"/>
    </x:row>
    <x:row r="35">
      <x:c r="A35" s="9" t="str">
        <x:v>Code available = Yes</x:v>
      </x:c>
      <x:c r="B35" s="9" t="n">
        <x:f>COUNTIF(Studies!$K$2:$K$35,"Yes")</x:f>
        <x:v>3</x:v>
      </x:c>
      <x:c r="C35" s="9"/>
      <x:c r="D35" s="9"/>
      <x:c r="E35" s="9"/>
      <x:c r="F35" s="9"/>
      <x:c r="G35" s="9"/>
      <x:c r="H35" s="9"/>
    </x:row>
    <x:row r="36">
      <x:c r="A36" s="9" t="str">
        <x:v>Data available = Yes</x:v>
      </x:c>
      <x:c r="B36" s="9" t="n">
        <x:f>COUNTIF(Studies!$L$2:$L$35,"Yes")</x:f>
        <x:v>6</x:v>
      </x:c>
      <x:c r="C36" s="9"/>
      <x:c r="D36" s="9"/>
      <x:c r="E36" s="9"/>
      <x:c r="F36" s="9"/>
      <x:c r="G36" s="9"/>
      <x:c r="H36" s="9"/>
    </x:row>
    <x:row r="37">
      <x:c r="A37" s="9" t="str">
        <x:v>Resource scarcity/constraint modelled</x:v>
      </x:c>
      <x:c r="B37" s="9" t="n">
        <x:v>31</x:v>
      </x:c>
      <x:c r="C37" s="9"/>
      <x:c r="D37" s="9"/>
      <x:c r="E37" s="9"/>
      <x:c r="F37" s="9"/>
      <x:c r="G37" s="9"/>
      <x:c r="H37" s="9"/>
    </x:row>
    <x:row r="38">
      <x:c r="A38" s="9"/>
      <x:c r="B38" s="9"/>
      <x:c r="C38" s="9"/>
      <x:c r="D38" s="9"/>
      <x:c r="E38" s="9"/>
      <x:c r="F38" s="9"/>
      <x:c r="G38" s="9"/>
      <x:c r="H38" s="9"/>
    </x:row>
    <x:row r="39">
      <x:c r="A39" s="9"/>
      <x:c r="B39" s="9"/>
      <x:c r="C39" s="9"/>
      <x:c r="D39" s="9"/>
      <x:c r="E39" s="9"/>
      <x:c r="F39" s="9"/>
      <x:c r="G39" s="9"/>
      <x:c r="H39" s="9"/>
    </x:row>
    <x:row r="40">
      <x:c r="A40" s="9"/>
      <x:c r="B40" s="9"/>
      <x:c r="C40" s="9"/>
      <x:c r="D40" s="9"/>
      <x:c r="E40" s="9"/>
      <x:c r="F40" s="9"/>
      <x:c r="G40" s="9"/>
      <x:c r="H40" s="9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48458f8bd2e40be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.25" hidden="0" customWidth="1"/>
    <x:col min="3" max="3" width="42" hidden="0" customWidth="1"/>
    <x:col min="4" max="4" width="30" hidden="0" customWidth="1"/>
    <x:col min="5" max="5" width="13.380000114440918" hidden="0" customWidth="1"/>
    <x:col min="6" max="6" width="13.880000114440918" hidden="0" customWidth="1"/>
    <x:col min="7" max="7" width="14.5" hidden="0" customWidth="1"/>
    <x:col min="8" max="8" width="20.5" hidden="0" customWidth="1"/>
    <x:col min="9" max="9" width="19.75" hidden="0" customWidth="1"/>
    <x:col min="10" max="10" width="19.75" hidden="0" customWidth="1"/>
    <x:col min="11" max="11" width="12.25" hidden="0" customWidth="1"/>
    <x:col min="12" max="12" width="12" hidden="0" customWidth="1"/>
    <x:col min="13" max="13" width="10" hidden="0" customWidth="1"/>
  </x:cols>
  <x:sheetData>
    <x:row r="1">
      <x:c r="A1" s="8" t="str">
        <x:v>Study_ID</x:v>
      </x:c>
      <x:c r="B1" s="8" t="str">
        <x:v>Year</x:v>
      </x:c>
      <x:c r="C1" s="8" t="str">
        <x:v>Title</x:v>
      </x:c>
      <x:c r="D1" s="8" t="str">
        <x:v>Primary_Domain</x:v>
      </x:c>
      <x:c r="E1" s="8" t="str">
        <x:v>Study_Family_ID</x:v>
      </x:c>
      <x:c r="F1" s="8" t="str">
        <x:v>Publication_Type</x:v>
      </x:c>
      <x:c r="G1" s="8" t="str">
        <x:v>MAS_Architecture</x:v>
      </x:c>
      <x:c r="H1" s="8" t="str">
        <x:v>Implementation_Maturity</x:v>
      </x:c>
      <x:c r="I1" s="8" t="str">
        <x:v>Sustainability_Addressed</x:v>
      </x:c>
      <x:c r="J1" s="8" t="str">
        <x:v>Real_World_Deployment</x:v>
      </x:c>
      <x:c r="K1" s="8" t="str">
        <x:v>Code_Available</x:v>
      </x:c>
      <x:c r="L1" s="8" t="str">
        <x:v>Data_Available</x:v>
      </x:c>
      <x:c r="M1" s="8" t="str">
        <x:v>QA_Total</x:v>
      </x:c>
    </x:row>
    <x:row r="2">
      <x:c r="A2" s="9" t="str">
        <x:v>S01</x:v>
      </x:c>
      <x:c r="B2" s="9" t="n">
        <x:v>2018</x:v>
      </x:c>
      <x:c r="C2" s="9" t="str">
        <x:v>Polarization in (post)nomadic resource use in Eastern Morocco: insights using a multi-agent simulation model</x:v>
      </x:c>
      <x:c r="D2" s="9" t="str">
        <x:v>Livestock / integrated farming</x:v>
      </x:c>
      <x:c r="E2" s="9" t="str">
        <x:v>SF01</x:v>
      </x:c>
      <x:c r="F2" s="9" t="str">
        <x:v>Journal article</x:v>
      </x:c>
      <x:c r="G2" s="9" t="str">
        <x:v>Decentralised</x:v>
      </x:c>
      <x:c r="H2" s="9" t="str">
        <x:v>Simulation</x:v>
      </x:c>
      <x:c r="I2" s="9" t="str">
        <x:v>Direct</x:v>
      </x:c>
      <x:c r="J2" s="9" t="str">
        <x:v>No</x:v>
      </x:c>
      <x:c r="K2" s="9" t="str">
        <x:v>NR</x:v>
      </x:c>
      <x:c r="L2" s="9" t="str">
        <x:v>NR</x:v>
      </x:c>
      <x:c r="M2" s="9" t="n">
        <x:v>13</x:v>
      </x:c>
    </x:row>
    <x:row r="3">
      <x:c r="A3" s="9" t="str">
        <x:v>S02</x:v>
      </x:c>
      <x:c r="B3" s="9" t="n">
        <x:v>2019</x:v>
      </x:c>
      <x:c r="C3" s="9" t="str">
        <x:v>Smart Farming – Open Multi-agent Platform and Eco-System of Smart Services for Precision Farming</x:v>
      </x:c>
      <x:c r="D3" s="9" t="str">
        <x:v>Crop / farm decision &amp; planning</x:v>
      </x:c>
      <x:c r="E3" s="9" t="str">
        <x:v>SF02</x:v>
      </x:c>
      <x:c r="F3" s="9" t="str">
        <x:v>Conference paper</x:v>
      </x:c>
      <x:c r="G3" s="9" t="str">
        <x:v>Hybrid</x:v>
      </x:c>
      <x:c r="H3" s="9" t="str">
        <x:v>Field pilot</x:v>
      </x:c>
      <x:c r="I3" s="9" t="str">
        <x:v>Indirect</x:v>
      </x:c>
      <x:c r="J3" s="9" t="str">
        <x:v>Yes</x:v>
      </x:c>
      <x:c r="K3" s="9" t="str">
        <x:v>NR</x:v>
      </x:c>
      <x:c r="L3" s="9" t="str">
        <x:v>NR</x:v>
      </x:c>
      <x:c r="M3" s="9" t="n">
        <x:v>9</x:v>
      </x:c>
    </x:row>
    <x:row r="4">
      <x:c r="A4" s="9" t="str">
        <x:v>S03</x:v>
      </x:c>
      <x:c r="B4" s="9" t="n">
        <x:v>2023</x:v>
      </x:c>
      <x:c r="C4" s="9" t="str">
        <x:v>Assessing seed and breeding interventions for organic farming using a multiagent value chain approach</x:v>
      </x:c>
      <x:c r="D4" s="9" t="str">
        <x:v>Crop / farm decision &amp; planning</x:v>
      </x:c>
      <x:c r="E4" s="9" t="str">
        <x:v>SF03</x:v>
      </x:c>
      <x:c r="F4" s="9" t="str">
        <x:v>Journal article</x:v>
      </x:c>
      <x:c r="G4" s="9" t="str">
        <x:v>Decentralised</x:v>
      </x:c>
      <x:c r="H4" s="9" t="str">
        <x:v>Simulation</x:v>
      </x:c>
      <x:c r="I4" s="9" t="str">
        <x:v>Indirect</x:v>
      </x:c>
      <x:c r="J4" s="9" t="str">
        <x:v>No</x:v>
      </x:c>
      <x:c r="K4" s="9" t="str">
        <x:v>NR</x:v>
      </x:c>
      <x:c r="L4" s="9" t="str">
        <x:v>Yes</x:v>
      </x:c>
      <x:c r="M4" s="9" t="n">
        <x:v>14</x:v>
      </x:c>
    </x:row>
    <x:row r="5">
      <x:c r="A5" s="9" t="str">
        <x:v>S04</x:v>
      </x:c>
      <x:c r="B5" s="9" t="n">
        <x:v>2026</x:v>
      </x:c>
      <x:c r="C5" s="9" t="str">
        <x:v>CowNet-AI: A Multi-Agent Decision Support Framework for Social Network–Driven Welfare Insights in Dairy Cattle</x:v>
      </x:c>
      <x:c r="D5" s="9" t="str">
        <x:v>Livestock / integrated farming</x:v>
      </x:c>
      <x:c r="E5" s="9" t="str">
        <x:v>SF04</x:v>
      </x:c>
      <x:c r="F5" s="9" t="str">
        <x:v>Journal article</x:v>
      </x:c>
      <x:c r="G5" s="9" t="str">
        <x:v>Centralised</x:v>
      </x:c>
      <x:c r="H5" s="9" t="str">
        <x:v>Prototype</x:v>
      </x:c>
      <x:c r="I5" s="9" t="str">
        <x:v>Not addressed</x:v>
      </x:c>
      <x:c r="J5" s="9" t="str">
        <x:v>No</x:v>
      </x:c>
      <x:c r="K5" s="9" t="str">
        <x:v>Yes</x:v>
      </x:c>
      <x:c r="L5" s="9" t="str">
        <x:v>Yes</x:v>
      </x:c>
      <x:c r="M5" s="9" t="n">
        <x:v>14</x:v>
      </x:c>
    </x:row>
    <x:row r="6">
      <x:c r="A6" s="9" t="str">
        <x:v>S05</x:v>
      </x:c>
      <x:c r="B6" s="9" t="n">
        <x:v>2024</x:v>
      </x:c>
      <x:c r="C6" s="9" t="str">
        <x:v>Peer-to-peer energy trading in dairy farms using multi-agent systems</x:v>
      </x:c>
      <x:c r="D6" s="9" t="str">
        <x:v>Energy management / trading</x:v>
      </x:c>
      <x:c r="E6" s="9" t="str">
        <x:v>SF05</x:v>
      </x:c>
      <x:c r="F6" s="9" t="str">
        <x:v>Journal article</x:v>
      </x:c>
      <x:c r="G6" s="9" t="str">
        <x:v>Hybrid</x:v>
      </x:c>
      <x:c r="H6" s="9" t="str">
        <x:v>Simulation</x:v>
      </x:c>
      <x:c r="I6" s="9" t="str">
        <x:v>Indirect</x:v>
      </x:c>
      <x:c r="J6" s="9" t="str">
        <x:v>No</x:v>
      </x:c>
      <x:c r="K6" s="9" t="str">
        <x:v>NR</x:v>
      </x:c>
      <x:c r="L6" s="9" t="str">
        <x:v>No</x:v>
      </x:c>
      <x:c r="M6" s="9" t="n">
        <x:v>14</x:v>
      </x:c>
    </x:row>
    <x:row r="7">
      <x:c r="A7" s="9" t="str">
        <x:v>S06</x:v>
      </x:c>
      <x:c r="B7" s="9" t="n">
        <x:v>2022</x:v>
      </x:c>
      <x:c r="C7" s="9" t="str">
        <x:v>Intelligent IoT-multiagent precision irrigation approach for improving water use efficiency in irrigation systems at farm and district scales</x:v>
      </x:c>
      <x:c r="D7" s="9" t="str">
        <x:v>Irrigation &amp; water management</x:v>
      </x:c>
      <x:c r="E7" s="9" t="str">
        <x:v>SF06</x:v>
      </x:c>
      <x:c r="F7" s="9" t="str">
        <x:v>Journal article</x:v>
      </x:c>
      <x:c r="G7" s="9" t="str">
        <x:v>Hierarchical</x:v>
      </x:c>
      <x:c r="H7" s="9" t="str">
        <x:v>Field pilot</x:v>
      </x:c>
      <x:c r="I7" s="9" t="str">
        <x:v>Direct</x:v>
      </x:c>
      <x:c r="J7" s="9" t="str">
        <x:v>Partial</x:v>
      </x:c>
      <x:c r="K7" s="9" t="str">
        <x:v>NR</x:v>
      </x:c>
      <x:c r="L7" s="9" t="str">
        <x:v>NR</x:v>
      </x:c>
      <x:c r="M7" s="9" t="n">
        <x:v>14</x:v>
      </x:c>
    </x:row>
    <x:row r="8">
      <x:c r="A8" s="9" t="str">
        <x:v>S07</x:v>
      </x:c>
      <x:c r="B8" s="9" t="n">
        <x:v>2024</x:v>
      </x:c>
      <x:c r="C8" s="9" t="str">
        <x:v>Learning-based multi-agent MPC for irrigation scheduling</x:v>
      </x:c>
      <x:c r="D8" s="9" t="str">
        <x:v>Irrigation &amp; water management</x:v>
      </x:c>
      <x:c r="E8" s="9" t="str">
        <x:v>SF07</x:v>
      </x:c>
      <x:c r="F8" s="9" t="str">
        <x:v>Journal article</x:v>
      </x:c>
      <x:c r="G8" s="9" t="str">
        <x:v>Decentralised</x:v>
      </x:c>
      <x:c r="H8" s="9" t="str">
        <x:v>Simulation</x:v>
      </x:c>
      <x:c r="I8" s="9" t="str">
        <x:v>Direct</x:v>
      </x:c>
      <x:c r="J8" s="9" t="str">
        <x:v>No</x:v>
      </x:c>
      <x:c r="K8" s="9" t="str">
        <x:v>NR</x:v>
      </x:c>
      <x:c r="L8" s="9" t="str">
        <x:v>NR</x:v>
      </x:c>
      <x:c r="M8" s="9" t="n">
        <x:v>14</x:v>
      </x:c>
    </x:row>
    <x:row r="9">
      <x:c r="A9" s="9" t="str">
        <x:v>S08</x:v>
      </x:c>
      <x:c r="B9" s="9" t="n">
        <x:v>2025</x:v>
      </x:c>
      <x:c r="C9" s="9" t="str">
        <x:v>A semi-centralized multi-agent RL framework for efficient irrigation scheduling</x:v>
      </x:c>
      <x:c r="D9" s="9" t="str">
        <x:v>Irrigation &amp; water management</x:v>
      </x:c>
      <x:c r="E9" s="9" t="str">
        <x:v>SF08</x:v>
      </x:c>
      <x:c r="F9" s="9" t="str">
        <x:v>Journal article</x:v>
      </x:c>
      <x:c r="G9" s="9" t="str">
        <x:v>Hierarchical</x:v>
      </x:c>
      <x:c r="H9" s="9" t="str">
        <x:v>Simulation</x:v>
      </x:c>
      <x:c r="I9" s="9" t="str">
        <x:v>Direct</x:v>
      </x:c>
      <x:c r="J9" s="9" t="str">
        <x:v>No</x:v>
      </x:c>
      <x:c r="K9" s="9" t="str">
        <x:v>NR</x:v>
      </x:c>
      <x:c r="L9" s="9" t="str">
        <x:v>NR</x:v>
      </x:c>
      <x:c r="M9" s="9" t="n">
        <x:v>14</x:v>
      </x:c>
    </x:row>
    <x:row r="10">
      <x:c r="A10" s="9" t="str">
        <x:v>S09</x:v>
      </x:c>
      <x:c r="B10" s="9" t="n">
        <x:v>2024</x:v>
      </x:c>
      <x:c r="C10" s="9" t="str">
        <x:v>Energy management for demand response in networked greenhouses with multi-agent deep reinforcement learning</x:v>
      </x:c>
      <x:c r="D10" s="9" t="str">
        <x:v>Energy management / trading</x:v>
      </x:c>
      <x:c r="E10" s="9" t="str">
        <x:v>SF09</x:v>
      </x:c>
      <x:c r="F10" s="9" t="str">
        <x:v>Journal article</x:v>
      </x:c>
      <x:c r="G10" s="9" t="str">
        <x:v>Hybrid</x:v>
      </x:c>
      <x:c r="H10" s="9" t="str">
        <x:v>Simulation</x:v>
      </x:c>
      <x:c r="I10" s="9" t="str">
        <x:v>Direct</x:v>
      </x:c>
      <x:c r="J10" s="9" t="str">
        <x:v>No</x:v>
      </x:c>
      <x:c r="K10" s="9" t="str">
        <x:v>NR</x:v>
      </x:c>
      <x:c r="L10" s="9" t="str">
        <x:v>Yes</x:v>
      </x:c>
      <x:c r="M10" s="9" t="n">
        <x:v>13</x:v>
      </x:c>
    </x:row>
    <x:row r="11">
      <x:c r="A11" s="9" t="str">
        <x:v>S10</x:v>
      </x:c>
      <x:c r="B11" s="9" t="n">
        <x:v>2011</x:v>
      </x:c>
      <x:c r="C11" s="9" t="str">
        <x:v>CaTMAS: A multi-agent model for simulating the dynamics of carbon resources of West African villages</x:v>
      </x:c>
      <x:c r="D11" s="9" t="str">
        <x:v>Livestock / integrated farming</x:v>
      </x:c>
      <x:c r="E11" s="9" t="str">
        <x:v>SF10</x:v>
      </x:c>
      <x:c r="F11" s="9" t="str">
        <x:v>Journal article</x:v>
      </x:c>
      <x:c r="G11" s="9" t="str">
        <x:v>Distributed</x:v>
      </x:c>
      <x:c r="H11" s="9" t="str">
        <x:v>Simulation</x:v>
      </x:c>
      <x:c r="I11" s="9" t="str">
        <x:v>Direct</x:v>
      </x:c>
      <x:c r="J11" s="9" t="str">
        <x:v>No</x:v>
      </x:c>
      <x:c r="K11" s="9" t="str">
        <x:v>NR</x:v>
      </x:c>
      <x:c r="L11" s="9" t="str">
        <x:v>NR</x:v>
      </x:c>
      <x:c r="M11" s="9" t="n">
        <x:v>13</x:v>
      </x:c>
    </x:row>
    <x:row r="12">
      <x:c r="A12" s="9" t="str">
        <x:v>S11</x:v>
      </x:c>
      <x:c r="B12" s="9" t="n">
        <x:v>2026</x:v>
      </x:c>
      <x:c r="C12" s="9" t="str">
        <x:v>Peer-to-peer energy trading in dairy farms using multi-agent reinforcement learning</x:v>
      </x:c>
      <x:c r="D12" s="9" t="str">
        <x:v>Energy management / trading</x:v>
      </x:c>
      <x:c r="E12" s="9" t="str">
        <x:v>SF05</x:v>
      </x:c>
      <x:c r="F12" s="9" t="str">
        <x:v>Journal article</x:v>
      </x:c>
      <x:c r="G12" s="9" t="str">
        <x:v>Hybrid</x:v>
      </x:c>
      <x:c r="H12" s="9" t="str">
        <x:v>Simulation</x:v>
      </x:c>
      <x:c r="I12" s="9" t="str">
        <x:v>Direct</x:v>
      </x:c>
      <x:c r="J12" s="9" t="str">
        <x:v>No</x:v>
      </x:c>
      <x:c r="K12" s="9" t="str">
        <x:v>NR</x:v>
      </x:c>
      <x:c r="L12" s="9" t="str">
        <x:v>NR</x:v>
      </x:c>
      <x:c r="M12" s="9" t="n">
        <x:v>14</x:v>
      </x:c>
    </x:row>
    <x:row r="13">
      <x:c r="A13" s="9" t="str">
        <x:v>S12</x:v>
      </x:c>
      <x:c r="B13" s="9" t="n">
        <x:v>2023</x:v>
      </x:c>
      <x:c r="C13" s="9" t="str">
        <x:v>MASSAI: Multi-agent system for simulating sustainable agricultural intensification of smallholder farms in Africa</x:v>
      </x:c>
      <x:c r="D13" s="9" t="str">
        <x:v>Nutrient / manure management</x:v>
      </x:c>
      <x:c r="E13" s="9" t="str">
        <x:v>SF12</x:v>
      </x:c>
      <x:c r="F13" s="9" t="str">
        <x:v>Journal article</x:v>
      </x:c>
      <x:c r="G13" s="9" t="str">
        <x:v>Decentralised</x:v>
      </x:c>
      <x:c r="H13" s="9" t="str">
        <x:v>Simulation</x:v>
      </x:c>
      <x:c r="I13" s="9" t="str">
        <x:v>Direct</x:v>
      </x:c>
      <x:c r="J13" s="9" t="str">
        <x:v>No</x:v>
      </x:c>
      <x:c r="K13" s="9" t="str">
        <x:v>Yes</x:v>
      </x:c>
      <x:c r="L13" s="9" t="str">
        <x:v>Yes</x:v>
      </x:c>
      <x:c r="M13" s="9" t="n">
        <x:v>13</x:v>
      </x:c>
    </x:row>
    <x:row r="14">
      <x:c r="A14" s="9" t="str">
        <x:v>S13</x:v>
      </x:c>
      <x:c r="B14" s="9" t="n">
        <x:v>2014</x:v>
      </x:c>
      <x:c r="C14" s="9" t="str">
        <x:v>Integrated modelling of social-ecological systems: The MAELIA high-resolution multi-agent platform to deal with water scarcity problems</x:v>
      </x:c>
      <x:c r="D14" s="9" t="str">
        <x:v>Irrigation &amp; water management</x:v>
      </x:c>
      <x:c r="E14" s="9" t="str">
        <x:v>SF13</x:v>
      </x:c>
      <x:c r="F14" s="9" t="str">
        <x:v>Conference paper</x:v>
      </x:c>
      <x:c r="G14" s="9" t="str">
        <x:v>Hierarchical</x:v>
      </x:c>
      <x:c r="H14" s="9" t="str">
        <x:v>Simulation</x:v>
      </x:c>
      <x:c r="I14" s="9" t="str">
        <x:v>Direct</x:v>
      </x:c>
      <x:c r="J14" s="9" t="str">
        <x:v>No</x:v>
      </x:c>
      <x:c r="K14" s="9" t="str">
        <x:v>NR</x:v>
      </x:c>
      <x:c r="L14" s="9" t="str">
        <x:v>NR</x:v>
      </x:c>
      <x:c r="M14" s="9" t="n">
        <x:v>12</x:v>
      </x:c>
    </x:row>
    <x:row r="15">
      <x:c r="A15" s="9" t="str">
        <x:v>S14</x:v>
      </x:c>
      <x:c r="B15" s="9" t="n">
        <x:v>2019</x:v>
      </x:c>
      <x:c r="C15" s="9" t="str">
        <x:v>Network-aware multi-agent simulations of herder-farmer conflicts</x:v>
      </x:c>
      <x:c r="D15" s="9" t="str">
        <x:v>Livestock / integrated farming</x:v>
      </x:c>
      <x:c r="E15" s="9" t="str">
        <x:v>SF14</x:v>
      </x:c>
      <x:c r="F15" s="9" t="str">
        <x:v>Conference paper</x:v>
      </x:c>
      <x:c r="G15" s="9" t="str">
        <x:v>Decentralised</x:v>
      </x:c>
      <x:c r="H15" s="9" t="str">
        <x:v>Simulation</x:v>
      </x:c>
      <x:c r="I15" s="9" t="str">
        <x:v>Indirect</x:v>
      </x:c>
      <x:c r="J15" s="9" t="str">
        <x:v>No</x:v>
      </x:c>
      <x:c r="K15" s="9" t="str">
        <x:v>NR</x:v>
      </x:c>
      <x:c r="L15" s="9" t="str">
        <x:v>NR</x:v>
      </x:c>
      <x:c r="M15" s="9" t="n">
        <x:v>8</x:v>
      </x:c>
    </x:row>
    <x:row r="16">
      <x:c r="A16" s="9" t="str">
        <x:v>S15</x:v>
      </x:c>
      <x:c r="B16" s="9" t="n">
        <x:v>2017</x:v>
      </x:c>
      <x:c r="C16" s="9" t="str">
        <x:v>Modelling a multi agent system for dairy farms for integrated decision making</x:v>
      </x:c>
      <x:c r="D16" s="9" t="str">
        <x:v>Livestock / integrated farming</x:v>
      </x:c>
      <x:c r="E16" s="9" t="str">
        <x:v>SF15</x:v>
      </x:c>
      <x:c r="F16" s="9" t="str">
        <x:v>Conference paper</x:v>
      </x:c>
      <x:c r="G16" s="9" t="str">
        <x:v>Centralised</x:v>
      </x:c>
      <x:c r="H16" s="9" t="str">
        <x:v>Prototype</x:v>
      </x:c>
      <x:c r="I16" s="9" t="str">
        <x:v>Not addressed</x:v>
      </x:c>
      <x:c r="J16" s="9" t="str">
        <x:v>No</x:v>
      </x:c>
      <x:c r="K16" s="9" t="str">
        <x:v>NR</x:v>
      </x:c>
      <x:c r="L16" s="9" t="str">
        <x:v>NR</x:v>
      </x:c>
      <x:c r="M16" s="9" t="n">
        <x:v>10</x:v>
      </x:c>
    </x:row>
    <x:row r="17">
      <x:c r="A17" s="9" t="str">
        <x:v>S16</x:v>
      </x:c>
      <x:c r="B17" s="9" t="n">
        <x:v>2023</x:v>
      </x:c>
      <x:c r="C17" s="9" t="str">
        <x:v>Water distribution in community irrigation using a multi-agent system</x:v>
      </x:c>
      <x:c r="D17" s="9" t="str">
        <x:v>Irrigation &amp; water management</x:v>
      </x:c>
      <x:c r="E17" s="9" t="str">
        <x:v>SF16</x:v>
      </x:c>
      <x:c r="F17" s="9" t="str">
        <x:v>Journal article</x:v>
      </x:c>
      <x:c r="G17" s="9" t="str">
        <x:v>Decentralised</x:v>
      </x:c>
      <x:c r="H17" s="9" t="str">
        <x:v>Simulation</x:v>
      </x:c>
      <x:c r="I17" s="9" t="str">
        <x:v>Direct</x:v>
      </x:c>
      <x:c r="J17" s="9" t="str">
        <x:v>No</x:v>
      </x:c>
      <x:c r="K17" s="9" t="str">
        <x:v>NR</x:v>
      </x:c>
      <x:c r="L17" s="9" t="str">
        <x:v>NR</x:v>
      </x:c>
      <x:c r="M17" s="9" t="n">
        <x:v>13</x:v>
      </x:c>
    </x:row>
    <x:row r="18">
      <x:c r="A18" s="9" t="str">
        <x:v>S17</x:v>
      </x:c>
      <x:c r="B18" s="9" t="n">
        <x:v>2026</x:v>
      </x:c>
      <x:c r="C18" s="9" t="str">
        <x:v>Assessment of agricultural vulnerability and risk to climate change in sugarcane production through life cycle analysis and a multi-agent system</x:v>
      </x:c>
      <x:c r="D18" s="9" t="str">
        <x:v>Crop / farm decision &amp; planning</x:v>
      </x:c>
      <x:c r="E18" s="9" t="str">
        <x:v>SF17</x:v>
      </x:c>
      <x:c r="F18" s="9" t="str">
        <x:v>Journal article</x:v>
      </x:c>
      <x:c r="G18" s="9" t="str">
        <x:v>Hierarchical</x:v>
      </x:c>
      <x:c r="H18" s="9" t="str">
        <x:v>Simulation</x:v>
      </x:c>
      <x:c r="I18" s="9" t="str">
        <x:v>Direct</x:v>
      </x:c>
      <x:c r="J18" s="9" t="str">
        <x:v>No</x:v>
      </x:c>
      <x:c r="K18" s="9" t="str">
        <x:v>NR</x:v>
      </x:c>
      <x:c r="L18" s="9" t="str">
        <x:v>NR</x:v>
      </x:c>
      <x:c r="M18" s="9" t="n">
        <x:v>12</x:v>
      </x:c>
    </x:row>
    <x:row r="19">
      <x:c r="A19" s="9" t="str">
        <x:v>S18</x:v>
      </x:c>
      <x:c r="B19" s="9" t="n">
        <x:v>2026</x:v>
      </x:c>
      <x:c r="C19" s="9" t="str">
        <x:v>Quantum Machine Learning-Enhanced Multiagent Reinforcement Learning for Intelligent Crop Resource Allocation in IoT-Enabled Smart Agriculture</x:v>
      </x:c>
      <x:c r="D19" s="9" t="str">
        <x:v>Crop / farm decision &amp; planning</x:v>
      </x:c>
      <x:c r="E19" s="9" t="str">
        <x:v>SF18</x:v>
      </x:c>
      <x:c r="F19" s="9" t="str">
        <x:v>Journal article</x:v>
      </x:c>
      <x:c r="G19" s="9" t="str">
        <x:v>Hybrid</x:v>
      </x:c>
      <x:c r="H19" s="9" t="str">
        <x:v>Simulation</x:v>
      </x:c>
      <x:c r="I19" s="9" t="str">
        <x:v>Direct</x:v>
      </x:c>
      <x:c r="J19" s="9" t="str">
        <x:v>No</x:v>
      </x:c>
      <x:c r="K19" s="9" t="str">
        <x:v>NR</x:v>
      </x:c>
      <x:c r="L19" s="9" t="str">
        <x:v>NR</x:v>
      </x:c>
      <x:c r="M19" s="9" t="n">
        <x:v>11</x:v>
      </x:c>
    </x:row>
    <x:row r="20">
      <x:c r="A20" s="9" t="str">
        <x:v>S19</x:v>
      </x:c>
      <x:c r="B20" s="9" t="n">
        <x:v>2024</x:v>
      </x:c>
      <x:c r="C20" s="9" t="str">
        <x:v>Modification of the Ant Colony Optimization Algorithm for Solving Multi-Agent Task Allocation Problem in Agricultural Application</x:v>
      </x:c>
      <x:c r="D20" s="9" t="str">
        <x:v>Workforce / robotics / task allocation</x:v>
      </x:c>
      <x:c r="E20" s="9" t="str">
        <x:v>SF19</x:v>
      </x:c>
      <x:c r="F20" s="9" t="str">
        <x:v>Journal article</x:v>
      </x:c>
      <x:c r="G20" s="9" t="str">
        <x:v>Centralised</x:v>
      </x:c>
      <x:c r="H20" s="9" t="str">
        <x:v>Controlled experiment</x:v>
      </x:c>
      <x:c r="I20" s="9" t="str">
        <x:v>Indirect</x:v>
      </x:c>
      <x:c r="J20" s="9" t="str">
        <x:v>No</x:v>
      </x:c>
      <x:c r="K20" s="9" t="str">
        <x:v>NR</x:v>
      </x:c>
      <x:c r="L20" s="9" t="str">
        <x:v>NR</x:v>
      </x:c>
      <x:c r="M20" s="9" t="n">
        <x:v>13</x:v>
      </x:c>
    </x:row>
    <x:row r="21">
      <x:c r="A21" s="9" t="str">
        <x:v>S20</x:v>
      </x:c>
      <x:c r="B21" s="9" t="n">
        <x:v>2020</x:v>
      </x:c>
      <x:c r="C21" s="9" t="str">
        <x:v>Improving Water Allocation Using Multi-agent Negotiation Mechanisms</x:v>
      </x:c>
      <x:c r="D21" s="9" t="str">
        <x:v>Irrigation &amp; water management</x:v>
      </x:c>
      <x:c r="E21" s="9" t="str">
        <x:v>SF16</x:v>
      </x:c>
      <x:c r="F21" s="9" t="str">
        <x:v>Conference paper</x:v>
      </x:c>
      <x:c r="G21" s="9" t="str">
        <x:v>Decentralised</x:v>
      </x:c>
      <x:c r="H21" s="9" t="str">
        <x:v>Simulation</x:v>
      </x:c>
      <x:c r="I21" s="9" t="str">
        <x:v>Direct</x:v>
      </x:c>
      <x:c r="J21" s="9" t="str">
        <x:v>No</x:v>
      </x:c>
      <x:c r="K21" s="9" t="str">
        <x:v>NR</x:v>
      </x:c>
      <x:c r="L21" s="9" t="str">
        <x:v>NR</x:v>
      </x:c>
      <x:c r="M21" s="9" t="n">
        <x:v>13</x:v>
      </x:c>
    </x:row>
    <x:row r="22">
      <x:c r="A22" s="9" t="str">
        <x:v>S21</x:v>
      </x:c>
      <x:c r="B22" s="9" t="n">
        <x:v>2026</x:v>
      </x:c>
      <x:c r="C22" s="9" t="str">
        <x:v>AI-driven multi-agent framework for smart irrigation and crop health monitoring in Indian rice and sugarcane farming</x:v>
      </x:c>
      <x:c r="D22" s="9" t="str">
        <x:v>Irrigation &amp; water management</x:v>
      </x:c>
      <x:c r="E22" s="9" t="str">
        <x:v>SF21</x:v>
      </x:c>
      <x:c r="F22" s="9" t="str">
        <x:v>Journal article</x:v>
      </x:c>
      <x:c r="G22" s="9" t="str">
        <x:v>Hybrid</x:v>
      </x:c>
      <x:c r="H22" s="9" t="str">
        <x:v>Simulation</x:v>
      </x:c>
      <x:c r="I22" s="9" t="str">
        <x:v>Direct</x:v>
      </x:c>
      <x:c r="J22" s="9" t="str">
        <x:v>No</x:v>
      </x:c>
      <x:c r="K22" s="9" t="str">
        <x:v>NR</x:v>
      </x:c>
      <x:c r="L22" s="9" t="str">
        <x:v>Yes</x:v>
      </x:c>
      <x:c r="M22" s="9" t="n">
        <x:v>14</x:v>
      </x:c>
    </x:row>
    <x:row r="23">
      <x:c r="A23" s="9" t="str">
        <x:v>S22</x:v>
      </x:c>
      <x:c r="B23" s="9" t="n">
        <x:v>2014</x:v>
      </x:c>
      <x:c r="C23" s="9" t="str">
        <x:v>The MAELIA Multi-agent platform for integrated analysis of interactions between agricultural land-use and low-water management strategies</x:v>
      </x:c>
      <x:c r="D23" s="9" t="str">
        <x:v>Irrigation &amp; water management</x:v>
      </x:c>
      <x:c r="E23" s="9" t="str">
        <x:v>SF13</x:v>
      </x:c>
      <x:c r="F23" s="9" t="str">
        <x:v>Conference paper</x:v>
      </x:c>
      <x:c r="G23" s="9" t="str">
        <x:v>Hierarchical</x:v>
      </x:c>
      <x:c r="H23" s="9" t="str">
        <x:v>Simulation</x:v>
      </x:c>
      <x:c r="I23" s="9" t="str">
        <x:v>Direct</x:v>
      </x:c>
      <x:c r="J23" s="9" t="str">
        <x:v>No</x:v>
      </x:c>
      <x:c r="K23" s="9" t="str">
        <x:v>NR</x:v>
      </x:c>
      <x:c r="L23" s="9" t="str">
        <x:v>NR</x:v>
      </x:c>
      <x:c r="M23" s="9" t="n">
        <x:v>12</x:v>
      </x:c>
    </x:row>
    <x:row r="24">
      <x:c r="A24" s="9" t="str">
        <x:v>S23</x:v>
      </x:c>
      <x:c r="B24" s="9" t="n">
        <x:v>2024</x:v>
      </x:c>
      <x:c r="C24" s="9" t="str">
        <x:v>Semi-centralized Multi-agent RL for Irrigation Scheduling</x:v>
      </x:c>
      <x:c r="D24" s="9" t="str">
        <x:v>Irrigation &amp; water management</x:v>
      </x:c>
      <x:c r="E24" s="9" t="str">
        <x:v>SF08</x:v>
      </x:c>
      <x:c r="F24" s="9" t="str">
        <x:v>Conference paper</x:v>
      </x:c>
      <x:c r="G24" s="9" t="str">
        <x:v>Hierarchical</x:v>
      </x:c>
      <x:c r="H24" s="9" t="str">
        <x:v>Simulation</x:v>
      </x:c>
      <x:c r="I24" s="9" t="str">
        <x:v>Direct</x:v>
      </x:c>
      <x:c r="J24" s="9" t="str">
        <x:v>No</x:v>
      </x:c>
      <x:c r="K24" s="9" t="str">
        <x:v>NR</x:v>
      </x:c>
      <x:c r="L24" s="9" t="str">
        <x:v>NR</x:v>
      </x:c>
      <x:c r="M24" s="9" t="n">
        <x:v>13</x:v>
      </x:c>
    </x:row>
    <x:row r="25">
      <x:c r="A25" s="9" t="str">
        <x:v>S24</x:v>
      </x:c>
      <x:c r="B25" s="9" t="n">
        <x:v>2019</x:v>
      </x:c>
      <x:c r="C25" s="9" t="str">
        <x:v>Intelligent multi-agent system for water reduction in automotive irrigation processes</x:v>
      </x:c>
      <x:c r="D25" s="9" t="str">
        <x:v>Irrigation &amp; water management</x:v>
      </x:c>
      <x:c r="E25" s="9" t="str">
        <x:v>SF24</x:v>
      </x:c>
      <x:c r="F25" s="9" t="str">
        <x:v>Conference paper</x:v>
      </x:c>
      <x:c r="G25" s="9" t="str">
        <x:v>Centralised</x:v>
      </x:c>
      <x:c r="H25" s="9" t="str">
        <x:v>Simulation</x:v>
      </x:c>
      <x:c r="I25" s="9" t="str">
        <x:v>Direct</x:v>
      </x:c>
      <x:c r="J25" s="9" t="str">
        <x:v>No</x:v>
      </x:c>
      <x:c r="K25" s="9" t="str">
        <x:v>NR</x:v>
      </x:c>
      <x:c r="L25" s="9" t="str">
        <x:v>NR</x:v>
      </x:c>
      <x:c r="M25" s="9" t="n">
        <x:v>12</x:v>
      </x:c>
    </x:row>
    <x:row r="26">
      <x:c r="A26" s="9" t="str">
        <x:v>S25</x:v>
      </x:c>
      <x:c r="B26" s="9" t="n">
        <x:v>2023</x:v>
      </x:c>
      <x:c r="C26" s="9" t="str">
        <x:v>Challenges for Multi-Agent Based Agricultural Workforce Management</x:v>
      </x:c>
      <x:c r="D26" s="9" t="str">
        <x:v>Workforce / robotics / task allocation</x:v>
      </x:c>
      <x:c r="E26" s="9" t="str">
        <x:v>SF25</x:v>
      </x:c>
      <x:c r="F26" s="9" t="str">
        <x:v>Conference paper</x:v>
      </x:c>
      <x:c r="G26" s="9" t="str">
        <x:v>Centralised</x:v>
      </x:c>
      <x:c r="H26" s="9" t="str">
        <x:v>Simulation</x:v>
      </x:c>
      <x:c r="I26" s="9" t="str">
        <x:v>Indirect</x:v>
      </x:c>
      <x:c r="J26" s="9" t="str">
        <x:v>No</x:v>
      </x:c>
      <x:c r="K26" s="9" t="str">
        <x:v>NR</x:v>
      </x:c>
      <x:c r="L26" s="9" t="str">
        <x:v>NR</x:v>
      </x:c>
      <x:c r="M26" s="9" t="n">
        <x:v>14</x:v>
      </x:c>
    </x:row>
    <x:row r="27">
      <x:c r="A27" s="9" t="str">
        <x:v>S26</x:v>
      </x:c>
      <x:c r="B27" s="9" t="n">
        <x:v>2021</x:v>
      </x:c>
      <x:c r="C27" s="9" t="str">
        <x:v>Assessing Adaptive Irrigation Impacts on Water Scarcity in Nonstationary Environments—A Multi-Agent Reinforcement Learning Approach</x:v>
      </x:c>
      <x:c r="D27" s="9" t="str">
        <x:v>Irrigation &amp; water management</x:v>
      </x:c>
      <x:c r="E27" s="9" t="str">
        <x:v>SF26</x:v>
      </x:c>
      <x:c r="F27" s="9" t="str">
        <x:v>Journal article</x:v>
      </x:c>
      <x:c r="G27" s="9" t="str">
        <x:v>Hybrid</x:v>
      </x:c>
      <x:c r="H27" s="9" t="str">
        <x:v>Simulation</x:v>
      </x:c>
      <x:c r="I27" s="9" t="str">
        <x:v>Direct</x:v>
      </x:c>
      <x:c r="J27" s="9" t="str">
        <x:v>No</x:v>
      </x:c>
      <x:c r="K27" s="9" t="str">
        <x:v>Yes</x:v>
      </x:c>
      <x:c r="L27" s="9" t="str">
        <x:v>Yes</x:v>
      </x:c>
      <x:c r="M27" s="9" t="n">
        <x:v>14</x:v>
      </x:c>
    </x:row>
    <x:row r="28">
      <x:c r="A28" s="9" t="str">
        <x:v>S27</x:v>
      </x:c>
      <x:c r="B28" s="9" t="n">
        <x:v>2013</x:v>
      </x:c>
      <x:c r="C28" s="9" t="str">
        <x:v>Multi-agent agro-economic simulation of irrigation water demand with climate services for climate change adaptation</x:v>
      </x:c>
      <x:c r="D28" s="9" t="str">
        <x:v>Irrigation &amp; water management</x:v>
      </x:c>
      <x:c r="E28" s="9" t="str">
        <x:v>SF27</x:v>
      </x:c>
      <x:c r="F28" s="9" t="str">
        <x:v>Journal article</x:v>
      </x:c>
      <x:c r="G28" s="9" t="str">
        <x:v>Decentralised</x:v>
      </x:c>
      <x:c r="H28" s="9" t="str">
        <x:v>Simulation</x:v>
      </x:c>
      <x:c r="I28" s="9" t="str">
        <x:v>Direct</x:v>
      </x:c>
      <x:c r="J28" s="9" t="str">
        <x:v>No</x:v>
      </x:c>
      <x:c r="K28" s="9" t="str">
        <x:v>NR</x:v>
      </x:c>
      <x:c r="L28" s="9" t="str">
        <x:v>NR</x:v>
      </x:c>
      <x:c r="M28" s="9" t="n">
        <x:v>13</x:v>
      </x:c>
    </x:row>
    <x:row r="29">
      <x:c r="A29" s="9" t="str">
        <x:v>S28</x:v>
      </x:c>
      <x:c r="B29" s="9" t="n">
        <x:v>2010</x:v>
      </x:c>
      <x:c r="C29" s="9" t="str">
        <x:v>A multi-agent simulation model for spatial optimisation of manure allocation</x:v>
      </x:c>
      <x:c r="D29" s="9" t="str">
        <x:v>Nutrient / manure management</x:v>
      </x:c>
      <x:c r="E29" s="9" t="str">
        <x:v>SF28</x:v>
      </x:c>
      <x:c r="F29" s="9" t="str">
        <x:v>Journal article</x:v>
      </x:c>
      <x:c r="G29" s="9" t="str">
        <x:v>Hierarchical</x:v>
      </x:c>
      <x:c r="H29" s="9" t="str">
        <x:v>Simulation</x:v>
      </x:c>
      <x:c r="I29" s="9" t="str">
        <x:v>Direct</x:v>
      </x:c>
      <x:c r="J29" s="9" t="str">
        <x:v>No</x:v>
      </x:c>
      <x:c r="K29" s="9" t="str">
        <x:v>NR</x:v>
      </x:c>
      <x:c r="L29" s="9" t="str">
        <x:v>NR</x:v>
      </x:c>
      <x:c r="M29" s="9" t="n">
        <x:v>14</x:v>
      </x:c>
    </x:row>
    <x:row r="30">
      <x:c r="A30" s="9" t="str">
        <x:v>S29</x:v>
      </x:c>
      <x:c r="B30" s="9" t="n">
        <x:v>2024</x:v>
      </x:c>
      <x:c r="C30" s="9" t="str">
        <x:v>A Multi-agent Systems Approach for Peer-to-Peer Energy Trading in Dairy Farming</x:v>
      </x:c>
      <x:c r="D30" s="9" t="str">
        <x:v>Energy management / trading</x:v>
      </x:c>
      <x:c r="E30" s="9" t="str">
        <x:v>SF05</x:v>
      </x:c>
      <x:c r="F30" s="9" t="str">
        <x:v>Conference paper</x:v>
      </x:c>
      <x:c r="G30" s="9" t="str">
        <x:v>Hybrid</x:v>
      </x:c>
      <x:c r="H30" s="9" t="str">
        <x:v>Simulation</x:v>
      </x:c>
      <x:c r="I30" s="9" t="str">
        <x:v>Indirect</x:v>
      </x:c>
      <x:c r="J30" s="9" t="str">
        <x:v>No</x:v>
      </x:c>
      <x:c r="K30" s="9" t="str">
        <x:v>NR</x:v>
      </x:c>
      <x:c r="L30" s="9" t="str">
        <x:v>NR</x:v>
      </x:c>
      <x:c r="M30" s="9" t="n">
        <x:v>12</x:v>
      </x:c>
    </x:row>
    <x:row r="31">
      <x:c r="A31" s="9" t="str">
        <x:v>S30</x:v>
      </x:c>
      <x:c r="B31" s="9" t="n">
        <x:v>2018</x:v>
      </x:c>
      <x:c r="C31" s="9" t="str">
        <x:v>Heterogeneous multi-agent resource allocation through multi-bidding with applications to precision agriculture</x:v>
      </x:c>
      <x:c r="D31" s="9" t="str">
        <x:v>Irrigation &amp; water management</x:v>
      </x:c>
      <x:c r="E31" s="9" t="str">
        <x:v>SF30</x:v>
      </x:c>
      <x:c r="F31" s="9" t="str">
        <x:v>Conference paper</x:v>
      </x:c>
      <x:c r="G31" s="9" t="str">
        <x:v>Distributed</x:v>
      </x:c>
      <x:c r="H31" s="9" t="str">
        <x:v>Simulation</x:v>
      </x:c>
      <x:c r="I31" s="9" t="str">
        <x:v>Indirect</x:v>
      </x:c>
      <x:c r="J31" s="9" t="str">
        <x:v>No</x:v>
      </x:c>
      <x:c r="K31" s="9" t="str">
        <x:v>NR</x:v>
      </x:c>
      <x:c r="L31" s="9" t="str">
        <x:v>NR</x:v>
      </x:c>
      <x:c r="M31" s="9" t="n">
        <x:v>13</x:v>
      </x:c>
    </x:row>
    <x:row r="32">
      <x:c r="A32" s="9" t="str">
        <x:v>S31</x:v>
      </x:c>
      <x:c r="B32" s="9" t="n">
        <x:v>2022</x:v>
      </x:c>
      <x:c r="C32" s="9" t="str">
        <x:v>Dynamic Task Allocation Method for Heterogenous Multiagent System in Uncertain Scenarios of Agricultural Field Operation</x:v>
      </x:c>
      <x:c r="D32" s="9" t="str">
        <x:v>Workforce / robotics / task allocation</x:v>
      </x:c>
      <x:c r="E32" s="9" t="str">
        <x:v>SF31</x:v>
      </x:c>
      <x:c r="F32" s="9" t="str">
        <x:v>Conference paper</x:v>
      </x:c>
      <x:c r="G32" s="9" t="str">
        <x:v>Decentralised</x:v>
      </x:c>
      <x:c r="H32" s="9" t="str">
        <x:v>Simulation</x:v>
      </x:c>
      <x:c r="I32" s="9" t="str">
        <x:v>Indirect</x:v>
      </x:c>
      <x:c r="J32" s="9" t="str">
        <x:v>No</x:v>
      </x:c>
      <x:c r="K32" s="9" t="str">
        <x:v>NR</x:v>
      </x:c>
      <x:c r="L32" s="9" t="str">
        <x:v>NR</x:v>
      </x:c>
      <x:c r="M32" s="9" t="n">
        <x:v>12</x:v>
      </x:c>
    </x:row>
    <x:row r="33">
      <x:c r="A33" s="9" t="str">
        <x:v>S32</x:v>
      </x:c>
      <x:c r="B33" s="9" t="n">
        <x:v>2012</x:v>
      </x:c>
      <x:c r="C33" s="9" t="str">
        <x:v>A constrained multi-agent system compensating for self-lucrative behaviours in water resource sharing</x:v>
      </x:c>
      <x:c r="D33" s="9" t="str">
        <x:v>Irrigation &amp; water management</x:v>
      </x:c>
      <x:c r="E33" s="9" t="str">
        <x:v>SF32</x:v>
      </x:c>
      <x:c r="F33" s="9" t="str">
        <x:v>Journal article</x:v>
      </x:c>
      <x:c r="G33" s="9" t="str">
        <x:v>Decentralised</x:v>
      </x:c>
      <x:c r="H33" s="9" t="str">
        <x:v>Simulation</x:v>
      </x:c>
      <x:c r="I33" s="9" t="str">
        <x:v>Direct</x:v>
      </x:c>
      <x:c r="J33" s="9" t="str">
        <x:v>No</x:v>
      </x:c>
      <x:c r="K33" s="9" t="str">
        <x:v>NR</x:v>
      </x:c>
      <x:c r="L33" s="9" t="str">
        <x:v>NR</x:v>
      </x:c>
      <x:c r="M33" s="9" t="n">
        <x:v>13</x:v>
      </x:c>
    </x:row>
    <x:row r="34">
      <x:c r="A34" s="9" t="str">
        <x:v>S33</x:v>
      </x:c>
      <x:c r="B34" s="9" t="n">
        <x:v>2022</x:v>
      </x:c>
      <x:c r="C34" s="9" t="str">
        <x:v>Multi-agent task allocation for harvest management</x:v>
      </x:c>
      <x:c r="D34" s="9" t="str">
        <x:v>Workforce / robotics / task allocation</x:v>
      </x:c>
      <x:c r="E34" s="9" t="str">
        <x:v>SF25</x:v>
      </x:c>
      <x:c r="F34" s="9" t="str">
        <x:v>Journal article</x:v>
      </x:c>
      <x:c r="G34" s="9" t="str">
        <x:v>Centralised</x:v>
      </x:c>
      <x:c r="H34" s="9" t="str">
        <x:v>Prototype</x:v>
      </x:c>
      <x:c r="I34" s="9" t="str">
        <x:v>Indirect</x:v>
      </x:c>
      <x:c r="J34" s="9" t="str">
        <x:v>No</x:v>
      </x:c>
      <x:c r="K34" s="9" t="str">
        <x:v>NR</x:v>
      </x:c>
      <x:c r="L34" s="9" t="str">
        <x:v>NR</x:v>
      </x:c>
      <x:c r="M34" s="9" t="n">
        <x:v>14</x:v>
      </x:c>
    </x:row>
    <x:row r="35">
      <x:c r="A35" s="9" t="str">
        <x:v>S34</x:v>
      </x:c>
      <x:c r="B35" s="9" t="n">
        <x:v>2022</x:v>
      </x:c>
      <x:c r="C35" s="9" t="str">
        <x:v>Multi-Agent Task Allocation Techniques for Harvest Team Formation</x:v>
      </x:c>
      <x:c r="D35" s="9" t="str">
        <x:v>Workforce / robotics / task allocation</x:v>
      </x:c>
      <x:c r="E35" s="9" t="str">
        <x:v>SF25</x:v>
      </x:c>
      <x:c r="F35" s="9" t="str">
        <x:v>Conference paper</x:v>
      </x:c>
      <x:c r="G35" s="9" t="str">
        <x:v>Centralised</x:v>
      </x:c>
      <x:c r="H35" s="9" t="str">
        <x:v>Prototype</x:v>
      </x:c>
      <x:c r="I35" s="9" t="str">
        <x:v>Indirect</x:v>
      </x:c>
      <x:c r="J35" s="9" t="str">
        <x:v>No</x:v>
      </x:c>
      <x:c r="K35" s="9" t="str">
        <x:v>NR</x:v>
      </x:c>
      <x:c r="L35" s="9" t="str">
        <x:v>NR</x:v>
      </x:c>
      <x:c r="M35" s="9" t="n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a7041e270d5f4b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3.880000114440918" hidden="0" customWidth="1"/>
    <x:col min="3" max="3" width="3.880000114440918" hidden="0" customWidth="1"/>
    <x:col min="4" max="4" width="3.880000114440918" hidden="0" customWidth="1"/>
    <x:col min="5" max="5" width="3.880000114440918" hidden="0" customWidth="1"/>
    <x:col min="6" max="6" width="3.880000114440918" hidden="0" customWidth="1"/>
    <x:col min="7" max="7" width="3.880000114440918" hidden="0" customWidth="1"/>
    <x:col min="8" max="8" width="3.880000114440918" hidden="0" customWidth="1"/>
    <x:col min="9" max="9" width="7.5" hidden="0" customWidth="1"/>
    <x:col min="11" max="11" width="6.880000114440918" hidden="0" customWidth="1"/>
    <x:col min="12" max="12" width="5" hidden="0" customWidth="1"/>
    <x:col min="13" max="13" width="6.130000114440918" hidden="0" customWidth="1"/>
    <x:col min="14" max="14" width="7" hidden="0" customWidth="1"/>
  </x:cols>
  <x:sheetData>
    <x:row r="1">
      <x:c r="A1" s="4" t="str">
        <x:v>Study_ID</x:v>
      </x:c>
      <x:c r="B1" s="4" t="str">
        <x:v>QA1</x:v>
      </x:c>
      <x:c r="C1" s="4" t="str">
        <x:v>QA2</x:v>
      </x:c>
      <x:c r="D1" s="4" t="str">
        <x:v>QA3</x:v>
      </x:c>
      <x:c r="E1" s="4" t="str">
        <x:v>QA4</x:v>
      </x:c>
      <x:c r="F1" s="4" t="str">
        <x:v>QA5</x:v>
      </x:c>
      <x:c r="G1" s="4" t="str">
        <x:v>QA6</x:v>
      </x:c>
      <x:c r="H1" s="4" t="str">
        <x:v>QA7</x:v>
      </x:c>
      <x:c r="I1" s="4" t="str">
        <x:v>QA_Total</x:v>
      </x:c>
      <x:c r="K1" s="3" t="str">
        <x:v>QA Item</x:v>
      </x:c>
      <x:c r="L1" s="3" t="str">
        <x:v>Mean</x:v>
      </x:c>
      <x:c r="M1" s="3" t="str">
        <x:v>Score 2</x:v>
      </x:c>
      <x:c r="N1" s="3" t="str">
        <x:v>Score &lt;2</x:v>
      </x:c>
    </x:row>
    <x:row r="2">
      <x:c r="A2" t="str">
        <x:v>S01</x:v>
      </x:c>
      <x:c r="B2" t="n">
        <x:v>2</x:v>
      </x:c>
      <x:c r="C2" t="n">
        <x:v>2</x:v>
      </x:c>
      <x:c r="D2" t="n">
        <x:v>1</x:v>
      </x:c>
      <x:c r="E2" t="n">
        <x:v>2</x:v>
      </x:c>
      <x:c r="F2" t="n">
        <x:v>2</x:v>
      </x:c>
      <x:c r="G2" t="n">
        <x:v>2</x:v>
      </x:c>
      <x:c r="H2" t="n">
        <x:v>2</x:v>
      </x:c>
      <x:c r="I2" t="n">
        <x:v>13</x:v>
      </x:c>
      <x:c r="K2" t="str">
        <x:v>QA1</x:v>
      </x:c>
      <x:c r="L2" s="12" t="n">
        <x:f>AVERAGE(B2:B35)</x:f>
        <x:v>2</x:v>
      </x:c>
      <x:c r="M2" t="n">
        <x:f>COUNTIF(B2:B35,2)</x:f>
        <x:v>34</x:v>
      </x:c>
      <x:c r="N2" t="n">
        <x:f>COUNTIF(B2:B35,"&lt;2")</x:f>
        <x:v>0</x:v>
      </x:c>
    </x:row>
    <x:row r="3">
      <x:c r="A3" t="str">
        <x:v>S02</x:v>
      </x:c>
      <x:c r="B3" t="n">
        <x:v>2</x:v>
      </x:c>
      <x:c r="C3" t="n">
        <x:v>2</x:v>
      </x:c>
      <x:c r="D3" t="n">
        <x:v>2</x:v>
      </x:c>
      <x:c r="E3" t="n">
        <x:v>1</x:v>
      </x:c>
      <x:c r="F3" t="n">
        <x:v>1</x:v>
      </x:c>
      <x:c r="G3" t="n">
        <x:v>1</x:v>
      </x:c>
      <x:c r="H3" t="n">
        <x:v>0</x:v>
      </x:c>
      <x:c r="I3" t="n">
        <x:v>9</x:v>
      </x:c>
      <x:c r="K3" t="str">
        <x:v>QA2</x:v>
      </x:c>
      <x:c r="L3" s="12" t="n">
        <x:f>AVERAGE(C2:C35)</x:f>
        <x:v>2</x:v>
      </x:c>
      <x:c r="M3" t="n">
        <x:f>COUNTIF(C2:C35,2)</x:f>
        <x:v>34</x:v>
      </x:c>
      <x:c r="N3" t="n">
        <x:f>COUNTIF(C2:C35,"&lt;2")</x:f>
        <x:v>0</x:v>
      </x:c>
    </x:row>
    <x:row r="4">
      <x:c r="A4" t="str">
        <x:v>S03</x:v>
      </x:c>
      <x:c r="B4" t="n">
        <x:v>2</x:v>
      </x:c>
      <x:c r="C4" t="n">
        <x:v>2</x:v>
      </x:c>
      <x:c r="D4" t="n">
        <x:v>2</x:v>
      </x:c>
      <x:c r="E4" t="n">
        <x:v>2</x:v>
      </x:c>
      <x:c r="F4" t="n">
        <x:v>2</x:v>
      </x:c>
      <x:c r="G4" t="n">
        <x:v>2</x:v>
      </x:c>
      <x:c r="H4" t="n">
        <x:v>2</x:v>
      </x:c>
      <x:c r="I4" t="n">
        <x:v>14</x:v>
      </x:c>
      <x:c r="K4" t="str">
        <x:v>QA3</x:v>
      </x:c>
      <x:c r="L4" s="12" t="n">
        <x:f>AVERAGE(D2:D35)</x:f>
        <x:v>1.8235294117647058</x:v>
      </x:c>
      <x:c r="M4" t="n">
        <x:f>COUNTIF(D2:D35,2)</x:f>
        <x:v>28</x:v>
      </x:c>
      <x:c r="N4" t="n">
        <x:f>COUNTIF(D2:D35,"&lt;2")</x:f>
        <x:v>6</x:v>
      </x:c>
    </x:row>
    <x:row r="5">
      <x:c r="A5" t="str">
        <x:v>S04</x:v>
      </x:c>
      <x:c r="B5" t="n">
        <x:v>2</x:v>
      </x:c>
      <x:c r="C5" t="n">
        <x:v>2</x:v>
      </x:c>
      <x:c r="D5" t="n">
        <x:v>2</x:v>
      </x:c>
      <x:c r="E5" t="n">
        <x:v>2</x:v>
      </x:c>
      <x:c r="F5" t="n">
        <x:v>2</x:v>
      </x:c>
      <x:c r="G5" t="n">
        <x:v>2</x:v>
      </x:c>
      <x:c r="H5" t="n">
        <x:v>2</x:v>
      </x:c>
      <x:c r="I5" t="n">
        <x:v>14</x:v>
      </x:c>
      <x:c r="K5" t="str">
        <x:v>QA4</x:v>
      </x:c>
      <x:c r="L5" s="12" t="n">
        <x:f>AVERAGE(E2:E35)</x:f>
        <x:v>1.8823529411764706</x:v>
      </x:c>
      <x:c r="M5" t="n">
        <x:f>COUNTIF(E2:E35,2)</x:f>
        <x:v>30</x:v>
      </x:c>
      <x:c r="N5" t="n">
        <x:f>COUNTIF(E2:E35,"&lt;2")</x:f>
        <x:v>4</x:v>
      </x:c>
    </x:row>
    <x:row r="6">
      <x:c r="A6" t="str">
        <x:v>S05</x:v>
      </x:c>
      <x:c r="B6" t="n">
        <x:v>2</x:v>
      </x:c>
      <x:c r="C6" t="n">
        <x:v>2</x:v>
      </x:c>
      <x:c r="D6" t="n">
        <x:v>2</x:v>
      </x:c>
      <x:c r="E6" t="n">
        <x:v>2</x:v>
      </x:c>
      <x:c r="F6" t="n">
        <x:v>2</x:v>
      </x:c>
      <x:c r="G6" t="n">
        <x:v>2</x:v>
      </x:c>
      <x:c r="H6" t="n">
        <x:v>2</x:v>
      </x:c>
      <x:c r="I6" t="n">
        <x:v>14</x:v>
      </x:c>
      <x:c r="K6" t="str">
        <x:v>QA5</x:v>
      </x:c>
      <x:c r="L6" s="12" t="n">
        <x:f>AVERAGE(F2:F35)</x:f>
        <x:v>1.8529411764705883</x:v>
      </x:c>
      <x:c r="M6" t="n">
        <x:f>COUNTIF(F2:F35,2)</x:f>
        <x:v>29</x:v>
      </x:c>
      <x:c r="N6" t="n">
        <x:f>COUNTIF(F2:F35,"&lt;2")</x:f>
        <x:v>5</x:v>
      </x:c>
    </x:row>
    <x:row r="7">
      <x:c r="A7" t="str">
        <x:v>S06</x:v>
      </x:c>
      <x:c r="B7" t="n">
        <x:v>2</x:v>
      </x:c>
      <x:c r="C7" t="n">
        <x:v>2</x:v>
      </x:c>
      <x:c r="D7" t="n">
        <x:v>2</x:v>
      </x:c>
      <x:c r="E7" t="n">
        <x:v>2</x:v>
      </x:c>
      <x:c r="F7" t="n">
        <x:v>2</x:v>
      </x:c>
      <x:c r="G7" t="n">
        <x:v>2</x:v>
      </x:c>
      <x:c r="H7" t="n">
        <x:v>2</x:v>
      </x:c>
      <x:c r="I7" t="n">
        <x:v>14</x:v>
      </x:c>
      <x:c r="K7" t="str">
        <x:v>QA6</x:v>
      </x:c>
      <x:c r="L7" s="12" t="n">
        <x:f>AVERAGE(G2:G35)</x:f>
        <x:v>1.8235294117647058</x:v>
      </x:c>
      <x:c r="M7" t="n">
        <x:f>COUNTIF(G2:G35,2)</x:f>
        <x:v>28</x:v>
      </x:c>
      <x:c r="N7" t="n">
        <x:f>COUNTIF(G2:G35,"&lt;2")</x:f>
        <x:v>6</x:v>
      </x:c>
    </x:row>
    <x:row r="8">
      <x:c r="A8" t="str">
        <x:v>S07</x:v>
      </x:c>
      <x:c r="B8" t="n">
        <x:v>2</x:v>
      </x:c>
      <x:c r="C8" t="n">
        <x:v>2</x:v>
      </x:c>
      <x:c r="D8" t="n">
        <x:v>2</x:v>
      </x:c>
      <x:c r="E8" t="n">
        <x:v>2</x:v>
      </x:c>
      <x:c r="F8" t="n">
        <x:v>2</x:v>
      </x:c>
      <x:c r="G8" t="n">
        <x:v>2</x:v>
      </x:c>
      <x:c r="H8" t="n">
        <x:v>2</x:v>
      </x:c>
      <x:c r="I8" t="n">
        <x:v>14</x:v>
      </x:c>
      <x:c r="K8" t="str">
        <x:v>QA7</x:v>
      </x:c>
      <x:c r="L8" s="12" t="n">
        <x:f>AVERAGE(H2:H35)</x:f>
        <x:v>1.3823529411764706</x:v>
      </x:c>
      <x:c r="M8" t="n">
        <x:f>COUNTIF(H2:H35,2)</x:f>
        <x:v>17</x:v>
      </x:c>
      <x:c r="N8" t="n">
        <x:f>COUNTIF(H2:H35,"&lt;2")</x:f>
        <x:v>17</x:v>
      </x:c>
    </x:row>
    <x:row r="9">
      <x:c r="A9" t="str">
        <x:v>S08</x:v>
      </x:c>
      <x:c r="B9" t="n">
        <x:v>2</x:v>
      </x:c>
      <x:c r="C9" t="n">
        <x:v>2</x:v>
      </x:c>
      <x:c r="D9" t="n">
        <x:v>2</x:v>
      </x:c>
      <x:c r="E9" t="n">
        <x:v>2</x:v>
      </x:c>
      <x:c r="F9" t="n">
        <x:v>2</x:v>
      </x:c>
      <x:c r="G9" t="n">
        <x:v>2</x:v>
      </x:c>
      <x:c r="H9" t="n">
        <x:v>2</x:v>
      </x:c>
      <x:c r="I9" t="n">
        <x:v>14</x:v>
      </x:c>
    </x:row>
    <x:row r="10">
      <x:c r="A10" t="str">
        <x:v>S09</x:v>
      </x:c>
      <x:c r="B10" t="n">
        <x:v>2</x:v>
      </x:c>
      <x:c r="C10" t="n">
        <x:v>2</x:v>
      </x:c>
      <x:c r="D10" t="n">
        <x:v>2</x:v>
      </x:c>
      <x:c r="E10" t="n">
        <x:v>2</x:v>
      </x:c>
      <x:c r="F10" t="n">
        <x:v>2</x:v>
      </x:c>
      <x:c r="G10" t="n">
        <x:v>2</x:v>
      </x:c>
      <x:c r="H10" t="n">
        <x:v>1</x:v>
      </x:c>
      <x:c r="I10" t="n">
        <x:v>13</x:v>
      </x:c>
    </x:row>
    <x:row r="11">
      <x:c r="A11" t="str">
        <x:v>S10</x:v>
      </x:c>
      <x:c r="B11" t="n">
        <x:v>2</x:v>
      </x:c>
      <x:c r="C11" t="n">
        <x:v>2</x:v>
      </x:c>
      <x:c r="D11" t="n">
        <x:v>1</x:v>
      </x:c>
      <x:c r="E11" t="n">
        <x:v>2</x:v>
      </x:c>
      <x:c r="F11" t="n">
        <x:v>2</x:v>
      </x:c>
      <x:c r="G11" t="n">
        <x:v>2</x:v>
      </x:c>
      <x:c r="H11" t="n">
        <x:v>2</x:v>
      </x:c>
      <x:c r="I11" t="n">
        <x:v>13</x:v>
      </x:c>
    </x:row>
    <x:row r="12">
      <x:c r="A12" t="str">
        <x:v>S11</x:v>
      </x:c>
      <x:c r="B12" t="n">
        <x:v>2</x:v>
      </x:c>
      <x:c r="C12" t="n">
        <x:v>2</x:v>
      </x:c>
      <x:c r="D12" t="n">
        <x:v>2</x:v>
      </x:c>
      <x:c r="E12" t="n">
        <x:v>2</x:v>
      </x:c>
      <x:c r="F12" t="n">
        <x:v>2</x:v>
      </x:c>
      <x:c r="G12" t="n">
        <x:v>2</x:v>
      </x:c>
      <x:c r="H12" t="n">
        <x:v>2</x:v>
      </x:c>
      <x:c r="I12" t="n">
        <x:v>14</x:v>
      </x:c>
    </x:row>
    <x:row r="13">
      <x:c r="A13" t="str">
        <x:v>S12</x:v>
      </x:c>
      <x:c r="B13" t="n">
        <x:v>2</x:v>
      </x:c>
      <x:c r="C13" t="n">
        <x:v>2</x:v>
      </x:c>
      <x:c r="D13" t="n">
        <x:v>1</x:v>
      </x:c>
      <x:c r="E13" t="n">
        <x:v>2</x:v>
      </x:c>
      <x:c r="F13" t="n">
        <x:v>2</x:v>
      </x:c>
      <x:c r="G13" t="n">
        <x:v>2</x:v>
      </x:c>
      <x:c r="H13" t="n">
        <x:v>2</x:v>
      </x:c>
      <x:c r="I13" t="n">
        <x:v>13</x:v>
      </x:c>
    </x:row>
    <x:row r="14">
      <x:c r="A14" t="str">
        <x:v>S13</x:v>
      </x:c>
      <x:c r="B14" t="n">
        <x:v>2</x:v>
      </x:c>
      <x:c r="C14" t="n">
        <x:v>2</x:v>
      </x:c>
      <x:c r="D14" t="n">
        <x:v>2</x:v>
      </x:c>
      <x:c r="E14" t="n">
        <x:v>2</x:v>
      </x:c>
      <x:c r="F14" t="n">
        <x:v>1</x:v>
      </x:c>
      <x:c r="G14" t="n">
        <x:v>2</x:v>
      </x:c>
      <x:c r="H14" t="n">
        <x:v>1</x:v>
      </x:c>
      <x:c r="I14" t="n">
        <x:v>12</x:v>
      </x:c>
    </x:row>
    <x:row r="15">
      <x:c r="A15" t="str">
        <x:v>S14</x:v>
      </x:c>
      <x:c r="B15" t="n">
        <x:v>2</x:v>
      </x:c>
      <x:c r="C15" t="n">
        <x:v>2</x:v>
      </x:c>
      <x:c r="D15" t="n">
        <x:v>1</x:v>
      </x:c>
      <x:c r="E15" t="n">
        <x:v>1</x:v>
      </x:c>
      <x:c r="F15" t="n">
        <x:v>1</x:v>
      </x:c>
      <x:c r="G15" t="n">
        <x:v>1</x:v>
      </x:c>
      <x:c r="H15" t="n">
        <x:v>0</x:v>
      </x:c>
      <x:c r="I15" t="n">
        <x:v>8</x:v>
      </x:c>
    </x:row>
    <x:row r="16">
      <x:c r="A16" t="str">
        <x:v>S15</x:v>
      </x:c>
      <x:c r="B16" t="n">
        <x:v>2</x:v>
      </x:c>
      <x:c r="C16" t="n">
        <x:v>2</x:v>
      </x:c>
      <x:c r="D16" t="n">
        <x:v>2</x:v>
      </x:c>
      <x:c r="E16" t="n">
        <x:v>1</x:v>
      </x:c>
      <x:c r="F16" t="n">
        <x:v>1</x:v>
      </x:c>
      <x:c r="G16" t="n">
        <x:v>1</x:v>
      </x:c>
      <x:c r="H16" t="n">
        <x:v>1</x:v>
      </x:c>
      <x:c r="I16" t="n">
        <x:v>10</x:v>
      </x:c>
    </x:row>
    <x:row r="17">
      <x:c r="A17" t="str">
        <x:v>S16</x:v>
      </x:c>
      <x:c r="B17" t="n">
        <x:v>2</x:v>
      </x:c>
      <x:c r="C17" t="n">
        <x:v>2</x:v>
      </x:c>
      <x:c r="D17" t="n">
        <x:v>2</x:v>
      </x:c>
      <x:c r="E17" t="n">
        <x:v>2</x:v>
      </x:c>
      <x:c r="F17" t="n">
        <x:v>2</x:v>
      </x:c>
      <x:c r="G17" t="n">
        <x:v>2</x:v>
      </x:c>
      <x:c r="H17" t="n">
        <x:v>1</x:v>
      </x:c>
      <x:c r="I17" t="n">
        <x:v>13</x:v>
      </x:c>
    </x:row>
    <x:row r="18">
      <x:c r="A18" t="str">
        <x:v>S17</x:v>
      </x:c>
      <x:c r="B18" t="n">
        <x:v>2</x:v>
      </x:c>
      <x:c r="C18" t="n">
        <x:v>2</x:v>
      </x:c>
      <x:c r="D18" t="n">
        <x:v>1</x:v>
      </x:c>
      <x:c r="E18" t="n">
        <x:v>2</x:v>
      </x:c>
      <x:c r="F18" t="n">
        <x:v>2</x:v>
      </x:c>
      <x:c r="G18" t="n">
        <x:v>2</x:v>
      </x:c>
      <x:c r="H18" t="n">
        <x:v>1</x:v>
      </x:c>
      <x:c r="I18" t="n">
        <x:v>12</x:v>
      </x:c>
    </x:row>
    <x:row r="19">
      <x:c r="A19" t="str">
        <x:v>S18</x:v>
      </x:c>
      <x:c r="B19" t="n">
        <x:v>2</x:v>
      </x:c>
      <x:c r="C19" t="n">
        <x:v>2</x:v>
      </x:c>
      <x:c r="D19" t="n">
        <x:v>2</x:v>
      </x:c>
      <x:c r="E19" t="n">
        <x:v>1</x:v>
      </x:c>
      <x:c r="F19" t="n">
        <x:v>2</x:v>
      </x:c>
      <x:c r="G19" t="n">
        <x:v>1</x:v>
      </x:c>
      <x:c r="H19" t="n">
        <x:v>1</x:v>
      </x:c>
      <x:c r="I19" t="n">
        <x:v>11</x:v>
      </x:c>
    </x:row>
    <x:row r="20">
      <x:c r="A20" t="str">
        <x:v>S19</x:v>
      </x:c>
      <x:c r="B20" t="n">
        <x:v>2</x:v>
      </x:c>
      <x:c r="C20" t="n">
        <x:v>2</x:v>
      </x:c>
      <x:c r="D20" t="n">
        <x:v>2</x:v>
      </x:c>
      <x:c r="E20" t="n">
        <x:v>2</x:v>
      </x:c>
      <x:c r="F20" t="n">
        <x:v>2</x:v>
      </x:c>
      <x:c r="G20" t="n">
        <x:v>2</x:v>
      </x:c>
      <x:c r="H20" t="n">
        <x:v>1</x:v>
      </x:c>
      <x:c r="I20" t="n">
        <x:v>13</x:v>
      </x:c>
    </x:row>
    <x:row r="21">
      <x:c r="A21" t="str">
        <x:v>S20</x:v>
      </x:c>
      <x:c r="B21" t="n">
        <x:v>2</x:v>
      </x:c>
      <x:c r="C21" t="n">
        <x:v>2</x:v>
      </x:c>
      <x:c r="D21" t="n">
        <x:v>2</x:v>
      </x:c>
      <x:c r="E21" t="n">
        <x:v>2</x:v>
      </x:c>
      <x:c r="F21" t="n">
        <x:v>2</x:v>
      </x:c>
      <x:c r="G21" t="n">
        <x:v>2</x:v>
      </x:c>
      <x:c r="H21" t="n">
        <x:v>1</x:v>
      </x:c>
      <x:c r="I21" t="n">
        <x:v>13</x:v>
      </x:c>
    </x:row>
    <x:row r="22">
      <x:c r="A22" t="str">
        <x:v>S21</x:v>
      </x:c>
      <x:c r="B22" t="n">
        <x:v>2</x:v>
      </x:c>
      <x:c r="C22" t="n">
        <x:v>2</x:v>
      </x:c>
      <x:c r="D22" t="n">
        <x:v>2</x:v>
      </x:c>
      <x:c r="E22" t="n">
        <x:v>2</x:v>
      </x:c>
      <x:c r="F22" t="n">
        <x:v>2</x:v>
      </x:c>
      <x:c r="G22" t="n">
        <x:v>2</x:v>
      </x:c>
      <x:c r="H22" t="n">
        <x:v>2</x:v>
      </x:c>
      <x:c r="I22" t="n">
        <x:v>14</x:v>
      </x:c>
    </x:row>
    <x:row r="23">
      <x:c r="A23" t="str">
        <x:v>S22</x:v>
      </x:c>
      <x:c r="B23" t="n">
        <x:v>2</x:v>
      </x:c>
      <x:c r="C23" t="n">
        <x:v>2</x:v>
      </x:c>
      <x:c r="D23" t="n">
        <x:v>2</x:v>
      </x:c>
      <x:c r="E23" t="n">
        <x:v>2</x:v>
      </x:c>
      <x:c r="F23" t="n">
        <x:v>1</x:v>
      </x:c>
      <x:c r="G23" t="n">
        <x:v>2</x:v>
      </x:c>
      <x:c r="H23" t="n">
        <x:v>1</x:v>
      </x:c>
      <x:c r="I23" t="n">
        <x:v>12</x:v>
      </x:c>
    </x:row>
    <x:row r="24">
      <x:c r="A24" t="str">
        <x:v>S23</x:v>
      </x:c>
      <x:c r="B24" t="n">
        <x:v>2</x:v>
      </x:c>
      <x:c r="C24" t="n">
        <x:v>2</x:v>
      </x:c>
      <x:c r="D24" t="n">
        <x:v>2</x:v>
      </x:c>
      <x:c r="E24" t="n">
        <x:v>2</x:v>
      </x:c>
      <x:c r="F24" t="n">
        <x:v>2</x:v>
      </x:c>
      <x:c r="G24" t="n">
        <x:v>2</x:v>
      </x:c>
      <x:c r="H24" t="n">
        <x:v>1</x:v>
      </x:c>
      <x:c r="I24" t="n">
        <x:v>13</x:v>
      </x:c>
    </x:row>
    <x:row r="25">
      <x:c r="A25" t="str">
        <x:v>S24</x:v>
      </x:c>
      <x:c r="B25" t="n">
        <x:v>2</x:v>
      </x:c>
      <x:c r="C25" t="n">
        <x:v>2</x:v>
      </x:c>
      <x:c r="D25" t="n">
        <x:v>2</x:v>
      </x:c>
      <x:c r="E25" t="n">
        <x:v>2</x:v>
      </x:c>
      <x:c r="F25" t="n">
        <x:v>2</x:v>
      </x:c>
      <x:c r="G25" t="n">
        <x:v>2</x:v>
      </x:c>
      <x:c r="H25" t="n">
        <x:v>0</x:v>
      </x:c>
      <x:c r="I25" t="n">
        <x:v>12</x:v>
      </x:c>
    </x:row>
    <x:row r="26">
      <x:c r="A26" t="str">
        <x:v>S25</x:v>
      </x:c>
      <x:c r="B26" t="n">
        <x:v>2</x:v>
      </x:c>
      <x:c r="C26" t="n">
        <x:v>2</x:v>
      </x:c>
      <x:c r="D26" t="n">
        <x:v>2</x:v>
      </x:c>
      <x:c r="E26" t="n">
        <x:v>2</x:v>
      </x:c>
      <x:c r="F26" t="n">
        <x:v>2</x:v>
      </x:c>
      <x:c r="G26" t="n">
        <x:v>2</x:v>
      </x:c>
      <x:c r="H26" t="n">
        <x:v>2</x:v>
      </x:c>
      <x:c r="I26" t="n">
        <x:v>14</x:v>
      </x:c>
    </x:row>
    <x:row r="27">
      <x:c r="A27" t="str">
        <x:v>S26</x:v>
      </x:c>
      <x:c r="B27" t="n">
        <x:v>2</x:v>
      </x:c>
      <x:c r="C27" t="n">
        <x:v>2</x:v>
      </x:c>
      <x:c r="D27" t="n">
        <x:v>2</x:v>
      </x:c>
      <x:c r="E27" t="n">
        <x:v>2</x:v>
      </x:c>
      <x:c r="F27" t="n">
        <x:v>2</x:v>
      </x:c>
      <x:c r="G27" t="n">
        <x:v>2</x:v>
      </x:c>
      <x:c r="H27" t="n">
        <x:v>2</x:v>
      </x:c>
      <x:c r="I27" t="n">
        <x:v>14</x:v>
      </x:c>
    </x:row>
    <x:row r="28">
      <x:c r="A28" t="str">
        <x:v>S27</x:v>
      </x:c>
      <x:c r="B28" t="n">
        <x:v>2</x:v>
      </x:c>
      <x:c r="C28" t="n">
        <x:v>2</x:v>
      </x:c>
      <x:c r="D28" t="n">
        <x:v>1</x:v>
      </x:c>
      <x:c r="E28" t="n">
        <x:v>2</x:v>
      </x:c>
      <x:c r="F28" t="n">
        <x:v>2</x:v>
      </x:c>
      <x:c r="G28" t="n">
        <x:v>2</x:v>
      </x:c>
      <x:c r="H28" t="n">
        <x:v>2</x:v>
      </x:c>
      <x:c r="I28" t="n">
        <x:v>13</x:v>
      </x:c>
    </x:row>
    <x:row r="29">
      <x:c r="A29" t="str">
        <x:v>S28</x:v>
      </x:c>
      <x:c r="B29" t="n">
        <x:v>2</x:v>
      </x:c>
      <x:c r="C29" t="n">
        <x:v>2</x:v>
      </x:c>
      <x:c r="D29" t="n">
        <x:v>2</x:v>
      </x:c>
      <x:c r="E29" t="n">
        <x:v>2</x:v>
      </x:c>
      <x:c r="F29" t="n">
        <x:v>2</x:v>
      </x:c>
      <x:c r="G29" t="n">
        <x:v>2</x:v>
      </x:c>
      <x:c r="H29" t="n">
        <x:v>2</x:v>
      </x:c>
      <x:c r="I29" t="n">
        <x:v>14</x:v>
      </x:c>
    </x:row>
    <x:row r="30">
      <x:c r="A30" t="str">
        <x:v>S29</x:v>
      </x:c>
      <x:c r="B30" t="n">
        <x:v>2</x:v>
      </x:c>
      <x:c r="C30" t="n">
        <x:v>2</x:v>
      </x:c>
      <x:c r="D30" t="n">
        <x:v>2</x:v>
      </x:c>
      <x:c r="E30" t="n">
        <x:v>2</x:v>
      </x:c>
      <x:c r="F30" t="n">
        <x:v>2</x:v>
      </x:c>
      <x:c r="G30" t="n">
        <x:v>1</x:v>
      </x:c>
      <x:c r="H30" t="n">
        <x:v>1</x:v>
      </x:c>
      <x:c r="I30" t="n">
        <x:v>12</x:v>
      </x:c>
    </x:row>
    <x:row r="31">
      <x:c r="A31" t="str">
        <x:v>S30</x:v>
      </x:c>
      <x:c r="B31" t="n">
        <x:v>2</x:v>
      </x:c>
      <x:c r="C31" t="n">
        <x:v>2</x:v>
      </x:c>
      <x:c r="D31" t="n">
        <x:v>2</x:v>
      </x:c>
      <x:c r="E31" t="n">
        <x:v>2</x:v>
      </x:c>
      <x:c r="F31" t="n">
        <x:v>2</x:v>
      </x:c>
      <x:c r="G31" t="n">
        <x:v>1</x:v>
      </x:c>
      <x:c r="H31" t="n">
        <x:v>2</x:v>
      </x:c>
      <x:c r="I31" t="n">
        <x:v>13</x:v>
      </x:c>
    </x:row>
    <x:row r="32">
      <x:c r="A32" t="str">
        <x:v>S31</x:v>
      </x:c>
      <x:c r="B32" t="n">
        <x:v>2</x:v>
      </x:c>
      <x:c r="C32" t="n">
        <x:v>2</x:v>
      </x:c>
      <x:c r="D32" t="n">
        <x:v>2</x:v>
      </x:c>
      <x:c r="E32" t="n">
        <x:v>2</x:v>
      </x:c>
      <x:c r="F32" t="n">
        <x:v>2</x:v>
      </x:c>
      <x:c r="G32" t="n">
        <x:v>2</x:v>
      </x:c>
      <x:c r="H32" t="n">
        <x:v>0</x:v>
      </x:c>
      <x:c r="I32" t="n">
        <x:v>12</x:v>
      </x:c>
    </x:row>
    <x:row r="33">
      <x:c r="A33" t="str">
        <x:v>S32</x:v>
      </x:c>
      <x:c r="B33" t="n">
        <x:v>2</x:v>
      </x:c>
      <x:c r="C33" t="n">
        <x:v>2</x:v>
      </x:c>
      <x:c r="D33" t="n">
        <x:v>2</x:v>
      </x:c>
      <x:c r="E33" t="n">
        <x:v>2</x:v>
      </x:c>
      <x:c r="F33" t="n">
        <x:v>2</x:v>
      </x:c>
      <x:c r="G33" t="n">
        <x:v>2</x:v>
      </x:c>
      <x:c r="H33" t="n">
        <x:v>1</x:v>
      </x:c>
      <x:c r="I33" t="n">
        <x:v>13</x:v>
      </x:c>
    </x:row>
    <x:row r="34">
      <x:c r="A34" t="str">
        <x:v>S33</x:v>
      </x:c>
      <x:c r="B34" t="n">
        <x:v>2</x:v>
      </x:c>
      <x:c r="C34" t="n">
        <x:v>2</x:v>
      </x:c>
      <x:c r="D34" t="n">
        <x:v>2</x:v>
      </x:c>
      <x:c r="E34" t="n">
        <x:v>2</x:v>
      </x:c>
      <x:c r="F34" t="n">
        <x:v>2</x:v>
      </x:c>
      <x:c r="G34" t="n">
        <x:v>2</x:v>
      </x:c>
      <x:c r="H34" t="n">
        <x:v>2</x:v>
      </x:c>
      <x:c r="I34" t="n">
        <x:v>14</x:v>
      </x:c>
    </x:row>
    <x:row r="35">
      <x:c r="A35" t="str">
        <x:v>S34</x:v>
      </x:c>
      <x:c r="B35" t="n">
        <x:v>2</x:v>
      </x:c>
      <x:c r="C35" t="n">
        <x:v>2</x:v>
      </x:c>
      <x:c r="D35" t="n">
        <x:v>2</x:v>
      </x:c>
      <x:c r="E35" t="n">
        <x:v>2</x:v>
      </x:c>
      <x:c r="F35" t="n">
        <x:v>2</x:v>
      </x:c>
      <x:c r="G35" t="n">
        <x:v>2</x:v>
      </x:c>
      <x:c r="H35" t="n">
        <x:v>1</x:v>
      </x:c>
      <x:c r="I35" t="n">
        <x:v>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14.5" hidden="0" customWidth="1"/>
    <x:col min="3" max="3" width="24" hidden="0" customWidth="1"/>
    <x:col min="4" max="4" width="30" hidden="0" customWidth="1"/>
    <x:col min="5" max="5" width="20" hidden="0" customWidth="1"/>
  </x:cols>
  <x:sheetData>
    <x:row r="1">
      <x:c r="A1" s="14" t="str">
        <x:v>Study_Family_ID</x:v>
      </x:c>
      <x:c r="B1" s="14" t="str">
        <x:v>Publication_Count</x:v>
      </x:c>
      <x:c r="C1" s="14" t="str">
        <x:v>Study_IDs</x:v>
      </x:c>
      <x:c r="D1" s="14" t="str">
        <x:v>Primary_Domain</x:v>
      </x:c>
      <x:c r="E1" s="14" t="str">
        <x:v>Multi_Publication_Family</x:v>
      </x:c>
    </x:row>
    <x:row r="2">
      <x:c r="A2" s="9" t="str">
        <x:v>SF01</x:v>
      </x:c>
      <x:c r="B2" s="9" t="n">
        <x:v>1</x:v>
      </x:c>
      <x:c r="C2" s="9" t="str">
        <x:v>S01</x:v>
      </x:c>
      <x:c r="D2" s="9" t="str">
        <x:v>Livestock / integrated farming</x:v>
      </x:c>
      <x:c r="E2" s="9" t="str">
        <x:v>No</x:v>
      </x:c>
    </x:row>
    <x:row r="3">
      <x:c r="A3" s="9" t="str">
        <x:v>SF02</x:v>
      </x:c>
      <x:c r="B3" s="9" t="n">
        <x:v>1</x:v>
      </x:c>
      <x:c r="C3" s="9" t="str">
        <x:v>S02</x:v>
      </x:c>
      <x:c r="D3" s="9" t="str">
        <x:v>Crop / farm decision &amp; planning</x:v>
      </x:c>
      <x:c r="E3" s="9" t="str">
        <x:v>No</x:v>
      </x:c>
    </x:row>
    <x:row r="4">
      <x:c r="A4" s="9" t="str">
        <x:v>SF03</x:v>
      </x:c>
      <x:c r="B4" s="9" t="n">
        <x:v>1</x:v>
      </x:c>
      <x:c r="C4" s="9" t="str">
        <x:v>S03</x:v>
      </x:c>
      <x:c r="D4" s="9" t="str">
        <x:v>Crop / farm decision &amp; planning</x:v>
      </x:c>
      <x:c r="E4" s="9" t="str">
        <x:v>No</x:v>
      </x:c>
    </x:row>
    <x:row r="5">
      <x:c r="A5" s="9" t="str">
        <x:v>SF04</x:v>
      </x:c>
      <x:c r="B5" s="9" t="n">
        <x:v>1</x:v>
      </x:c>
      <x:c r="C5" s="9" t="str">
        <x:v>S04</x:v>
      </x:c>
      <x:c r="D5" s="9" t="str">
        <x:v>Livestock / integrated farming</x:v>
      </x:c>
      <x:c r="E5" s="9" t="str">
        <x:v>No</x:v>
      </x:c>
    </x:row>
    <x:row r="6">
      <x:c r="A6" s="9" t="str">
        <x:v>SF05</x:v>
      </x:c>
      <x:c r="B6" s="9" t="n">
        <x:v>3</x:v>
      </x:c>
      <x:c r="C6" s="9" t="str">
        <x:v>S05; S11; S29</x:v>
      </x:c>
      <x:c r="D6" s="9" t="str">
        <x:v>Energy management / trading</x:v>
      </x:c>
      <x:c r="E6" s="9" t="str">
        <x:v>Yes</x:v>
      </x:c>
    </x:row>
    <x:row r="7">
      <x:c r="A7" s="9" t="str">
        <x:v>SF06</x:v>
      </x:c>
      <x:c r="B7" s="9" t="n">
        <x:v>1</x:v>
      </x:c>
      <x:c r="C7" s="9" t="str">
        <x:v>S06</x:v>
      </x:c>
      <x:c r="D7" s="9" t="str">
        <x:v>Irrigation &amp; water management</x:v>
      </x:c>
      <x:c r="E7" s="9" t="str">
        <x:v>No</x:v>
      </x:c>
    </x:row>
    <x:row r="8">
      <x:c r="A8" s="9" t="str">
        <x:v>SF07</x:v>
      </x:c>
      <x:c r="B8" s="9" t="n">
        <x:v>1</x:v>
      </x:c>
      <x:c r="C8" s="9" t="str">
        <x:v>S07</x:v>
      </x:c>
      <x:c r="D8" s="9" t="str">
        <x:v>Irrigation &amp; water management</x:v>
      </x:c>
      <x:c r="E8" s="9" t="str">
        <x:v>No</x:v>
      </x:c>
    </x:row>
    <x:row r="9">
      <x:c r="A9" s="9" t="str">
        <x:v>SF08</x:v>
      </x:c>
      <x:c r="B9" s="9" t="n">
        <x:v>2</x:v>
      </x:c>
      <x:c r="C9" s="9" t="str">
        <x:v>S08; S23</x:v>
      </x:c>
      <x:c r="D9" s="9" t="str">
        <x:v>Irrigation &amp; water management</x:v>
      </x:c>
      <x:c r="E9" s="9" t="str">
        <x:v>Yes</x:v>
      </x:c>
    </x:row>
    <x:row r="10">
      <x:c r="A10" s="9" t="str">
        <x:v>SF09</x:v>
      </x:c>
      <x:c r="B10" s="9" t="n">
        <x:v>1</x:v>
      </x:c>
      <x:c r="C10" s="9" t="str">
        <x:v>S09</x:v>
      </x:c>
      <x:c r="D10" s="9" t="str">
        <x:v>Energy management / trading</x:v>
      </x:c>
      <x:c r="E10" s="9" t="str">
        <x:v>No</x:v>
      </x:c>
    </x:row>
    <x:row r="11">
      <x:c r="A11" s="9" t="str">
        <x:v>SF10</x:v>
      </x:c>
      <x:c r="B11" s="9" t="n">
        <x:v>1</x:v>
      </x:c>
      <x:c r="C11" s="9" t="str">
        <x:v>S10</x:v>
      </x:c>
      <x:c r="D11" s="9" t="str">
        <x:v>Livestock / integrated farming</x:v>
      </x:c>
      <x:c r="E11" s="9" t="str">
        <x:v>No</x:v>
      </x:c>
    </x:row>
    <x:row r="12">
      <x:c r="A12" s="9" t="str">
        <x:v>SF12</x:v>
      </x:c>
      <x:c r="B12" s="9" t="n">
        <x:v>1</x:v>
      </x:c>
      <x:c r="C12" s="9" t="str">
        <x:v>S12</x:v>
      </x:c>
      <x:c r="D12" s="9" t="str">
        <x:v>Nutrient / manure management</x:v>
      </x:c>
      <x:c r="E12" s="9" t="str">
        <x:v>No</x:v>
      </x:c>
    </x:row>
    <x:row r="13">
      <x:c r="A13" s="9" t="str">
        <x:v>SF13</x:v>
      </x:c>
      <x:c r="B13" s="9" t="n">
        <x:v>2</x:v>
      </x:c>
      <x:c r="C13" s="9" t="str">
        <x:v>S13; S22</x:v>
      </x:c>
      <x:c r="D13" s="9" t="str">
        <x:v>Irrigation &amp; water management</x:v>
      </x:c>
      <x:c r="E13" s="9" t="str">
        <x:v>Yes</x:v>
      </x:c>
    </x:row>
    <x:row r="14">
      <x:c r="A14" s="9" t="str">
        <x:v>SF14</x:v>
      </x:c>
      <x:c r="B14" s="9" t="n">
        <x:v>1</x:v>
      </x:c>
      <x:c r="C14" s="9" t="str">
        <x:v>S14</x:v>
      </x:c>
      <x:c r="D14" s="9" t="str">
        <x:v>Livestock / integrated farming</x:v>
      </x:c>
      <x:c r="E14" s="9" t="str">
        <x:v>No</x:v>
      </x:c>
    </x:row>
    <x:row r="15">
      <x:c r="A15" s="9" t="str">
        <x:v>SF15</x:v>
      </x:c>
      <x:c r="B15" s="9" t="n">
        <x:v>1</x:v>
      </x:c>
      <x:c r="C15" s="9" t="str">
        <x:v>S15</x:v>
      </x:c>
      <x:c r="D15" s="9" t="str">
        <x:v>Livestock / integrated farming</x:v>
      </x:c>
      <x:c r="E15" s="9" t="str">
        <x:v>No</x:v>
      </x:c>
    </x:row>
    <x:row r="16">
      <x:c r="A16" s="9" t="str">
        <x:v>SF16</x:v>
      </x:c>
      <x:c r="B16" s="9" t="n">
        <x:v>2</x:v>
      </x:c>
      <x:c r="C16" s="9" t="str">
        <x:v>S16; S20</x:v>
      </x:c>
      <x:c r="D16" s="9" t="str">
        <x:v>Irrigation &amp; water management</x:v>
      </x:c>
      <x:c r="E16" s="9" t="str">
        <x:v>Yes</x:v>
      </x:c>
    </x:row>
    <x:row r="17">
      <x:c r="A17" s="9" t="str">
        <x:v>SF17</x:v>
      </x:c>
      <x:c r="B17" s="9" t="n">
        <x:v>1</x:v>
      </x:c>
      <x:c r="C17" s="9" t="str">
        <x:v>S17</x:v>
      </x:c>
      <x:c r="D17" s="9" t="str">
        <x:v>Crop / farm decision &amp; planning</x:v>
      </x:c>
      <x:c r="E17" s="9" t="str">
        <x:v>No</x:v>
      </x:c>
    </x:row>
    <x:row r="18">
      <x:c r="A18" s="9" t="str">
        <x:v>SF18</x:v>
      </x:c>
      <x:c r="B18" s="9" t="n">
        <x:v>1</x:v>
      </x:c>
      <x:c r="C18" s="9" t="str">
        <x:v>S18</x:v>
      </x:c>
      <x:c r="D18" s="9" t="str">
        <x:v>Crop / farm decision &amp; planning</x:v>
      </x:c>
      <x:c r="E18" s="9" t="str">
        <x:v>No</x:v>
      </x:c>
    </x:row>
    <x:row r="19">
      <x:c r="A19" s="9" t="str">
        <x:v>SF19</x:v>
      </x:c>
      <x:c r="B19" s="9" t="n">
        <x:v>1</x:v>
      </x:c>
      <x:c r="C19" s="9" t="str">
        <x:v>S19</x:v>
      </x:c>
      <x:c r="D19" s="9" t="str">
        <x:v>Workforce / robotics / task allocation</x:v>
      </x:c>
      <x:c r="E19" s="9" t="str">
        <x:v>No</x:v>
      </x:c>
    </x:row>
    <x:row r="20">
      <x:c r="A20" s="9" t="str">
        <x:v>SF21</x:v>
      </x:c>
      <x:c r="B20" s="9" t="n">
        <x:v>1</x:v>
      </x:c>
      <x:c r="C20" s="9" t="str">
        <x:v>S21</x:v>
      </x:c>
      <x:c r="D20" s="9" t="str">
        <x:v>Irrigation &amp; water management</x:v>
      </x:c>
      <x:c r="E20" s="9" t="str">
        <x:v>No</x:v>
      </x:c>
    </x:row>
    <x:row r="21">
      <x:c r="A21" s="9" t="str">
        <x:v>SF24</x:v>
      </x:c>
      <x:c r="B21" s="9" t="n">
        <x:v>1</x:v>
      </x:c>
      <x:c r="C21" s="9" t="str">
        <x:v>S24</x:v>
      </x:c>
      <x:c r="D21" s="9" t="str">
        <x:v>Irrigation &amp; water management</x:v>
      </x:c>
      <x:c r="E21" s="9" t="str">
        <x:v>No</x:v>
      </x:c>
    </x:row>
    <x:row r="22">
      <x:c r="A22" s="9" t="str">
        <x:v>SF25</x:v>
      </x:c>
      <x:c r="B22" s="9" t="n">
        <x:v>3</x:v>
      </x:c>
      <x:c r="C22" s="9" t="str">
        <x:v>S25; S33; S34</x:v>
      </x:c>
      <x:c r="D22" s="9" t="str">
        <x:v>Workforce / robotics / task allocation</x:v>
      </x:c>
      <x:c r="E22" s="9" t="str">
        <x:v>Yes</x:v>
      </x:c>
    </x:row>
    <x:row r="23">
      <x:c r="A23" s="9" t="str">
        <x:v>SF26</x:v>
      </x:c>
      <x:c r="B23" s="9" t="n">
        <x:v>1</x:v>
      </x:c>
      <x:c r="C23" s="9" t="str">
        <x:v>S26</x:v>
      </x:c>
      <x:c r="D23" s="9" t="str">
        <x:v>Irrigation &amp; water management</x:v>
      </x:c>
      <x:c r="E23" s="9" t="str">
        <x:v>No</x:v>
      </x:c>
    </x:row>
    <x:row r="24">
      <x:c r="A24" s="9" t="str">
        <x:v>SF27</x:v>
      </x:c>
      <x:c r="B24" s="9" t="n">
        <x:v>1</x:v>
      </x:c>
      <x:c r="C24" s="9" t="str">
        <x:v>S27</x:v>
      </x:c>
      <x:c r="D24" s="9" t="str">
        <x:v>Irrigation &amp; water management</x:v>
      </x:c>
      <x:c r="E24" s="9" t="str">
        <x:v>No</x:v>
      </x:c>
    </x:row>
    <x:row r="25">
      <x:c r="A25" s="9" t="str">
        <x:v>SF28</x:v>
      </x:c>
      <x:c r="B25" s="9" t="n">
        <x:v>1</x:v>
      </x:c>
      <x:c r="C25" s="9" t="str">
        <x:v>S28</x:v>
      </x:c>
      <x:c r="D25" s="9" t="str">
        <x:v>Nutrient / manure management</x:v>
      </x:c>
      <x:c r="E25" s="9" t="str">
        <x:v>No</x:v>
      </x:c>
    </x:row>
    <x:row r="26">
      <x:c r="A26" s="9" t="str">
        <x:v>SF30</x:v>
      </x:c>
      <x:c r="B26" s="9" t="n">
        <x:v>1</x:v>
      </x:c>
      <x:c r="C26" s="9" t="str">
        <x:v>S30</x:v>
      </x:c>
      <x:c r="D26" s="9" t="str">
        <x:v>Irrigation &amp; water management</x:v>
      </x:c>
      <x:c r="E26" s="9" t="str">
        <x:v>No</x:v>
      </x:c>
    </x:row>
    <x:row r="27">
      <x:c r="A27" s="9" t="str">
        <x:v>SF31</x:v>
      </x:c>
      <x:c r="B27" s="9" t="n">
        <x:v>1</x:v>
      </x:c>
      <x:c r="C27" s="9" t="str">
        <x:v>S31</x:v>
      </x:c>
      <x:c r="D27" s="9" t="str">
        <x:v>Workforce / robotics / task allocation</x:v>
      </x:c>
      <x:c r="E27" s="9" t="str">
        <x:v>No</x:v>
      </x:c>
    </x:row>
    <x:row r="28">
      <x:c r="A28" s="9" t="str">
        <x:v>SF32</x:v>
      </x:c>
      <x:c r="B28" s="9" t="n">
        <x:v>1</x:v>
      </x:c>
      <x:c r="C28" s="9" t="str">
        <x:v>S32</x:v>
      </x:c>
      <x:c r="D28" s="9" t="str">
        <x:v>Irrigation &amp; water management</x:v>
      </x:c>
      <x:c r="E28" s="9" t="str">
        <x:v>No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</x:cols>
  <x:sheetData>
    <x:row r="1">
      <x:c r="A1" s="14" t="str">
        <x:v>Analytical validation notes</x:v>
      </x:c>
      <x:c r="B1" s="14"/>
    </x:row>
    <x:row r="2">
      <x:c r="A2" s="9" t="str">
        <x:v>1. Unit of description</x:v>
      </x:c>
      <x:c r="B2" s="9" t="str">
        <x:v>Publication-level descriptive statistics use all 34 included publications.</x:v>
      </x:c>
    </x:row>
    <x:row r="3">
      <x:c r="A3" s="9" t="str">
        <x:v>2. Evidence independence</x:v>
      </x:c>
      <x:c r="B3" s="9" t="str">
        <x:v>The 34 publications represent 27 distinct study families; five families contain multiple related publications.</x:v>
      </x:c>
    </x:row>
    <x:row r="4">
      <x:c r="A4" s="9" t="str">
        <x:v>3. Family handling</x:v>
      </x:c>
      <x:c r="B4" s="9" t="str">
        <x:v>Related publications remain in descriptive counts, but RQ synthesis must avoid treating overlapping results as independent evidence.</x:v>
      </x:c>
    </x:row>
    <x:row r="5">
      <x:c r="A5" s="9" t="str">
        <x:v>4. Primary_Domain</x:v>
      </x:c>
      <x:c r="B5" s="9" t="str">
        <x:v>A derived one-category analytical grouping created from the detailed Agricultural_Domain and study objectives. It does not replace the original extraction field.</x:v>
      </x:c>
    </x:row>
    <x:row r="6">
      <x:c r="A6" s="9" t="str">
        <x:v>5. Granular categorical labels</x:v>
      </x:c>
      <x:c r="B6" s="9" t="str">
        <x:v>Detailed extraction labels (for example comparative evaluation or sensitivity analysis) are preserved in the source CSV. Broader categories are used only for descriptive aggregation.</x:v>
      </x:c>
    </x:row>
    <x:row r="7">
      <x:c r="A7" s="9" t="str">
        <x:v>6. Missing data</x:v>
      </x:c>
      <x:c r="B7" s="9" t="str">
        <x:v>The frozen extraction dataset contains no blank analytical cells; NR, NA and UNC retain their protocol-defined meanings.</x:v>
      </x:c>
    </x:row>
    <x:row r="8">
      <x:c r="A8" s="9" t="str">
        <x:v>7. QA interpretation</x:v>
      </x:c>
      <x:c r="B8" s="9" t="str">
        <x:v>QA is descriptive; no new post-hoc exclusion threshold was introduced during analysis.</x:v>
      </x:c>
    </x:row>
  </x:sheetData>
  <x:pageMargins left="0.7" right="0.7" top="0.75" bottom="0.75" header="0.3" footer="0.3"/>
</x:worksheet>
</file>