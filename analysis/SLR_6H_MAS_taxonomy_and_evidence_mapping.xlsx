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201010aa4c40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29adc0b55cfa4768"/>
    <x:sheet xmlns:r="http://schemas.openxmlformats.org/officeDocument/2006/relationships" name="Taxonomy" sheetId="2" r:id="Rdf367839e5ed45fb"/>
    <x:sheet xmlns:r="http://schemas.openxmlformats.org/officeDocument/2006/relationships" name="53 Publication Map" sheetId="3" r:id="Rcec8c531731347ec"/>
    <x:sheet xmlns:r="http://schemas.openxmlformats.org/officeDocument/2006/relationships" name="44 Family Map" sheetId="4" r:id="R1e28813be6f74807"/>
    <x:sheet xmlns:r="http://schemas.openxmlformats.org/officeDocument/2006/relationships" name="Domain x Purpose" sheetId="5" r:id="R710e76e870ee45e7"/>
    <x:sheet xmlns:r="http://schemas.openxmlformats.org/officeDocument/2006/relationships" name="Domain x Architecture" sheetId="6" r:id="R56e3c940bd3d4720"/>
    <x:sheet xmlns:r="http://schemas.openxmlformats.org/officeDocument/2006/relationships" name="Domain x Roles" sheetId="7" r:id="Ra54da89817234b9c"/>
    <x:sheet xmlns:r="http://schemas.openxmlformats.org/officeDocument/2006/relationships" name="Domain x Coordination" sheetId="8" r:id="R95af9e64a31748b9"/>
    <x:sheet xmlns:r="http://schemas.openxmlformats.org/officeDocument/2006/relationships" name="Architecture x Coord" sheetId="9" r:id="R2f4f0ac6f1bd4f8b"/>
    <x:sheet xmlns:r="http://schemas.openxmlformats.org/officeDocument/2006/relationships" name="Role x Coordination" sheetId="10" r:id="R00396106839d4211"/>
    <x:sheet xmlns:r="http://schemas.openxmlformats.org/officeDocument/2006/relationships" name="Domain Evidence" sheetId="11" r:id="R6cccf366b89144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0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1"/>
      <x:color rgb="FF1F2937"/>
      <x:name val="Carlito"/>
    </x:font>
    <x:font>
      <x:i/>
      <x:sz val="11"/>
      <x:color rgb="FF4B5563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2F5D7C"/>
      </x:patternFill>
    </x:fill>
    <x:fill>
      <x:patternFill patternType="solid">
        <x:fgColor rgb="FFDCE6F1"/>
      </x:patternFill>
    </x:fill>
    <x:fill>
      <x:patternFill patternType="solid">
        <x:fgColor rgb="FFF5F7FA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</x:xf>
    <x:xf numFmtId="200" fontId="3" fillId="0" borderId="1" xfId="0" applyNumberFormat="1" applyFont="1" applyFill="1" applyBorder="1" applyAlignment="1">
      <x:alignment vertical="top" wrapText="1"/>
    </x:xf>
    <x:xf numFmtId="201" fontId="3" fillId="0" borderId="0" xfId="0" applyNumberFormat="1" applyFont="1" applyFill="1" applyBorder="1" applyAlignment="1">
      <x:alignment vertical="top" wrapText="1"/>
    </x:xf>
    <x:xf numFmtId="201" fontId="3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6" fillId="4" borderId="0" xfId="0" applyNumberFormat="1" applyFont="1" applyFill="1" applyBorder="1"/>
    <x:xf numFmtId="0" fontId="6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473d749e7549d4" /><Relationship Type="http://schemas.openxmlformats.org/officeDocument/2006/relationships/theme" Target="/xl/theme/theme1.xml" Id="Rfa19fc1460504c64" /><Relationship Type="http://schemas.openxmlformats.org/officeDocument/2006/relationships/sharedStrings" Target="/xl/sharedStrings.xml" Id="R0a3f01b54a7447a4" /><Relationship Type="http://schemas.openxmlformats.org/officeDocument/2006/relationships/worksheet" Target="/xl/worksheets/sheet1.xml" Id="R29adc0b55cfa4768" /><Relationship Type="http://schemas.openxmlformats.org/officeDocument/2006/relationships/worksheet" Target="/xl/worksheets/sheet2.xml" Id="Rdf367839e5ed45fb" /><Relationship Type="http://schemas.openxmlformats.org/officeDocument/2006/relationships/worksheet" Target="/xl/worksheets/sheet3.xml" Id="Rcec8c531731347ec" /><Relationship Type="http://schemas.openxmlformats.org/officeDocument/2006/relationships/worksheet" Target="/xl/worksheets/sheet4.xml" Id="R1e28813be6f74807" /><Relationship Type="http://schemas.openxmlformats.org/officeDocument/2006/relationships/worksheet" Target="/xl/worksheets/sheet5.xml" Id="R710e76e870ee45e7" /><Relationship Type="http://schemas.openxmlformats.org/officeDocument/2006/relationships/worksheet" Target="/xl/worksheets/sheet6.xml" Id="R56e3c940bd3d4720" /><Relationship Type="http://schemas.openxmlformats.org/officeDocument/2006/relationships/worksheet" Target="/xl/worksheets/sheet7.xml" Id="Ra54da89817234b9c" /><Relationship Type="http://schemas.openxmlformats.org/officeDocument/2006/relationships/worksheet" Target="/xl/worksheets/sheet8.xml" Id="R95af9e64a31748b9" /><Relationship Type="http://schemas.openxmlformats.org/officeDocument/2006/relationships/worksheet" Target="/xl/worksheets/sheet9.xml" Id="R2f4f0ac6f1bd4f8b" /><Relationship Type="http://schemas.openxmlformats.org/officeDocument/2006/relationships/worksheet" Target="/xl/worksheets/sheet10.xml" Id="R00396106839d4211" /><Relationship Type="http://schemas.openxmlformats.org/officeDocument/2006/relationships/worksheet" Target="/xl/worksheets/sheet11.xml" Id="R6cccf366b891445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384e704813f4dd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Publication and family coverage by domain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Publications</c:v>
          </c:tx>
          <c:cat>
            <c:strRef>
              <c:f>'Domain Evidence'!$A$4:$A$9</c:f>
              <c:strCache>
                <c:ptCount val="0"/>
              </c:strCache>
            </c:strRef>
          </c:cat>
          <c:val>
            <c:numRef>
              <c:f>'Domain Evidence'!$B$4:$B$9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Families</c:v>
          </c:tx>
          <c:cat>
            <c:strRef>
              <c:f>'Domain Evidence'!$A$4:$A$9</c:f>
              <c:strCache>
                <c:ptCount val="0"/>
              </c:strCache>
            </c:strRef>
          </c:cat>
          <c:val>
            <c:numRef>
              <c:f>'Domain Evidence'!$C$4:$C$9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16</xdr:col>
      <xdr:colOff>0</xdr:colOff>
      <xdr:row>2</xdr:row>
      <xdr:rowOff>0</xdr:rowOff>
    </xdr:from>
    <xdr:to>
      <xdr:col>24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384e704813f4dd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ublicationEvidenceMap" displayName="PublicationEvidenceMap" ref="A3:T56" headerRowCount="1" totalsRowCount="0" totalsRowShown="0">
  <x:tableColumns count="20">
    <x:tableColumn id="1" name="Study ID"/>
    <x:tableColumn id="2" name="Family ID"/>
    <x:tableColumn id="3" name="Year"/>
    <x:tableColumn id="4" name="Primary domain"/>
    <x:tableColumn id="5" name="Primary purpose"/>
    <x:tableColumn id="6" name="Architecture"/>
    <x:tableColumn id="7" name="Agent roles"/>
    <x:tableColumn id="8" name="Decision paradigms"/>
    <x:tableColumn id="9" name="Coordination mechanisms"/>
    <x:tableColumn id="10" name="Integration scope"/>
    <x:tableColumn id="11" name="Maturity"/>
    <x:tableColumn id="12" name="Sustainability"/>
    <x:tableColumn id="13" name="Resource constraint"/>
    <x:tableColumn id="14" name="RQ3 outcome direction"/>
    <x:tableColumn id="15" name="RQ4 comparator tags"/>
    <x:tableColumn id="16" name="Deployment"/>
    <x:tableColumn id="17" name="QA /14"/>
    <x:tableColumn id="18" name="Code available"/>
    <x:tableColumn id="19" name="Data available"/>
    <x:tableColumn id="20" name="Tit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amilyEvidenceMap" displayName="FamilyEvidenceMap" ref="A3:P47" headerRowCount="1" totalsRowCount="0" totalsRowShown="0">
  <x:tableColumns count="16">
    <x:tableColumn id="1" name="Family ID"/>
    <x:tableColumn id="2" name="Study IDs"/>
    <x:tableColumn id="3" name="n publications"/>
    <x:tableColumn id="4" name="Year range"/>
    <x:tableColumn id="5" name="Primary domain(s)"/>
    <x:tableColumn id="6" name="Primary purpose(s)"/>
    <x:tableColumn id="7" name="Architecture(s)"/>
    <x:tableColumn id="8" name="Agent roles"/>
    <x:tableColumn id="9" name="Decision paradigms"/>
    <x:tableColumn id="10" name="Coordination mechanisms"/>
    <x:tableColumn id="11" name="Integration scope"/>
    <x:tableColumn id="12" name="Maturity"/>
    <x:tableColumn id="13" name="Sustainability"/>
    <x:tableColumn id="14" name="RQ3 outcome direction"/>
    <x:tableColumn id="15" name="Deployment"/>
    <x:tableColumn id="16" name="Mean QA /14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d5395e8a13094d9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5ebc2f76ca7744c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.xml" Id="R6ee16c12d11c41fd" /></Relationships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6" hidden="0" customWidth="1"/>
    <x:col min="2" max="2" width="92" hidden="0" customWidth="1"/>
  </x:cols>
  <x:sheetData>
    <x:row r="1" ht="28" customHeight="1">
      <x:c r="A1" s="5" t="str">
        <x:v>Step 6H — Formal MAS Taxonomy and Evidence Mapping</x:v>
      </x:c>
      <x:c r="B1" s="5"/>
      <x:c r="C1" s="5"/>
      <x:c r="D1" s="5"/>
      <x:c r="E1" s="5"/>
      <x:c r="F1" s="5"/>
      <x:c r="G1" s="5"/>
      <x:c r="H1" s="5"/>
    </x:row>
    <x:row r="3">
      <x:c r="A3" s="14" t="str">
        <x:v>Item</x:v>
      </x:c>
      <x:c r="B3" s="14" t="str">
        <x:v>Specification</x:v>
      </x:c>
    </x:row>
    <x:row r="4">
      <x:c r="A4" s="22" t="str">
        <x:v>Corpus</x:v>
      </x:c>
      <x:c r="B4" s="22" t="str">
        <x:v>53 included publications (S01–S53), reconciled into 44 study families.</x:v>
      </x:c>
    </x:row>
    <x:row r="5">
      <x:c r="A5" s="22" t="str">
        <x:v>Primary unit</x:v>
      </x:c>
      <x:c r="B5" s="22" t="str">
        <x:v>Publication-level taxonomy and evidence map; family-level sensitivity uses unique Study_Family_IDs.</x:v>
      </x:c>
    </x:row>
    <x:row r="6">
      <x:c r="A6" s="22" t="str">
        <x:v>Taxonomy axes</x:v>
      </x:c>
      <x:c r="B6" s="22" t="str">
        <x:v>Application domain; functional purpose; agent roles; architecture; decision paradigm; coordination mechanism.</x:v>
      </x:c>
    </x:row>
    <x:row r="7">
      <x:c r="A7" s="22" t="str">
        <x:v>Evidence overlay</x:v>
      </x:c>
      <x:c r="B7" s="22" t="str">
        <x:v>System integration scope; implementation maturity; sustainability coding; RQ3 outcome direction; RQ4 comparator type; deployment; QA.</x:v>
      </x:c>
    </x:row>
    <x:row r="8">
      <x:c r="A8" s="22" t="str">
        <x:v>Counting rule</x:v>
      </x:c>
      <x:c r="B8" s="22" t="str">
        <x:v>Agent roles, paradigms, coordination mechanisms, comparator tags, and family-level evidence are multi-label. Publication architecture and primary domain/purpose are single-valued.</x:v>
      </x:c>
    </x:row>
    <x:row r="9">
      <x:c r="A9" s="22" t="str">
        <x:v>Family cross-tab rule</x:v>
      </x:c>
      <x:c r="B9" s="22" t="str">
        <x:v>A family is counted in a cross-tab cell when at least one publication in that family supports that exact category pair. Family matrices are evidence-presence maps, not mutually exclusive partitions.</x:v>
      </x:c>
    </x:row>
    <x:row r="10">
      <x:c r="A10" s="22" t="str">
        <x:v>Coverage interpretation</x:v>
      </x:c>
      <x:c r="B10" s="22" t="str">
        <x:v>Heatmaps show evidence density only. 0 = absent in this corpus; low counts do not automatically imply a research gap or low scientific importance.</x:v>
      </x:c>
    </x:row>
    <x:row r="11">
      <x:c r="A11" s="22" t="str">
        <x:v>Architecture exception</x:v>
      </x:c>
      <x:c r="B11" s="22" t="str">
        <x:v>SF42 contains paper-specific Hybrid and Hierarchical architecture codes; it is preserved rather than forced into one family-wide architecture.</x:v>
      </x:c>
    </x:row>
    <x:row r="12">
      <x:c r="A12" s="22" t="str">
        <x:v>Outcome safeguard</x:v>
      </x:c>
      <x:c r="B12" s="22" t="str">
        <x:v>Favourable means favourable direction in the extracted/adjudicated evidence, usually conditional or simulated; it is not a pooled or causal effect estimate.</x:v>
      </x:c>
    </x:row>
    <x:row r="13">
      <x:c r="A13" s="22" t="str">
        <x:v>Source files</x:v>
      </x:c>
      <x:c r="B13" s="22" t="str">
        <x:v>extraction_template_53_step5_reconciled.csv; RQ0_primary_purpose_mapping_53.csv; SLR_6G_manual_RQ1_RQ2_adjudication.xlsx; SLR_6G_adjudication_RQ3_RQ4.xlsx; quality_assessment_53_step4_complete.csv.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3" hidden="0" customWidth="1"/>
    <x:col min="2" max="2" width="32" hidden="0" customWidth="1"/>
    <x:col min="3" max="3" width="70" hidden="0" customWidth="1"/>
    <x:col min="4" max="4" width="12" hidden="0" customWidth="1"/>
    <x:col min="5" max="5" width="13" hidden="0" customWidth="1"/>
    <x:col min="6" max="6" width="14" hidden="0" customWidth="1"/>
    <x:col min="7" max="7" width="11" hidden="0" customWidth="1"/>
    <x:col min="8" max="8" width="20" hidden="0" customWidth="1"/>
    <x:col min="9" max="9" width="55" hidden="0" customWidth="1"/>
  </x:cols>
  <x:sheetData>
    <x:row r="1" ht="28" customHeight="1">
      <x:c r="A1" s="5" t="str">
        <x:v>Formal MAS Taxonomy</x:v>
      </x:c>
      <x:c r="B1" s="5"/>
      <x:c r="C1" s="5"/>
      <x:c r="D1" s="5"/>
      <x:c r="E1" s="5"/>
      <x:c r="F1" s="5"/>
      <x:c r="G1" s="5"/>
      <x:c r="H1" s="5"/>
      <x:c r="I1" s="5"/>
    </x:row>
    <x:row r="3">
      <x:c r="A3" s="14" t="str">
        <x:v>Axis</x:v>
      </x:c>
      <x:c r="B3" s="14" t="str">
        <x:v>Category</x:v>
      </x:c>
      <x:c r="C3" s="14" t="str">
        <x:v>Definition / coding meaning</x:v>
      </x:c>
      <x:c r="D3" s="14" t="str">
        <x:v>Publications</x:v>
      </x:c>
      <x:c r="E3" s="14" t="str">
        <x:v>Publication %</x:v>
      </x:c>
      <x:c r="F3" s="14" t="str">
        <x:v>Family evidence</x:v>
      </x:c>
      <x:c r="G3" s="14" t="str">
        <x:v>Family %</x:v>
      </x:c>
      <x:c r="H3" s="14" t="str">
        <x:v>Multiplicity</x:v>
      </x:c>
      <x:c r="I3" s="14" t="str">
        <x:v>Notes</x:v>
      </x:c>
    </x:row>
    <x:row r="4">
      <x:c r="A4" s="22" t="str">
        <x:v>1. Application domain</x:v>
      </x:c>
      <x:c r="B4" s="22" t="str">
        <x:v>Irrigation / water management</x:v>
      </x:c>
      <x:c r="C4" s="22" t="str">
        <x:v>Primary setting is irrigation scheduling, water allocation, canal/reservoir/groundwater governance, or water-scarcity management.</x:v>
      </x:c>
      <x:c r="D4" s="22" t="n">
        <x:v>24</x:v>
      </x:c>
      <x:c r="E4" s="26" t="n">
        <x:f>D4/53</x:f>
        <x:v>0.4528301886792453</x:v>
      </x:c>
      <x:c r="F4" s="22" t="n">
        <x:v>20</x:v>
      </x:c>
      <x:c r="G4" s="26" t="n">
        <x:f>F4/44</x:f>
        <x:v>0.45454545454545453</x:v>
      </x:c>
      <x:c r="H4" s="22" t="str">
        <x:v>Single-valued per publication</x:v>
      </x:c>
      <x:c r="I4" s="22" t="str">
        <x:v>Family evidence can span &gt;1 domain when related papers differ (notably SF42).</x:v>
      </x:c>
    </x:row>
    <x:row r="5">
      <x:c r="A5" s="22" t="str">
        <x:v>1. Application domain</x:v>
      </x:c>
      <x:c r="B5" s="22" t="str">
        <x:v>Crop / farm management</x:v>
      </x:c>
      <x:c r="C5" s="22" t="str">
        <x:v>Primary setting is crop choice, farm planning, production decisions, technology adoption, or general farm management.</x:v>
      </x:c>
      <x:c r="D5" s="22" t="n">
        <x:v>8</x:v>
      </x:c>
      <x:c r="E5" s="26" t="n">
        <x:f>D5/53</x:f>
        <x:v>0.1509433962264151</x:v>
      </x:c>
      <x:c r="F5" s="22" t="n">
        <x:v>8</x:v>
      </x:c>
      <x:c r="G5" s="26" t="n">
        <x:f>F5/44</x:f>
        <x:v>0.18181818181818182</x:v>
      </x:c>
      <x:c r="H5" s="22" t="str">
        <x:v>Single-valued per publication</x:v>
      </x:c>
      <x:c r="I5" s="22" t="str">
        <x:v>Family evidence can span &gt;1 domain when related papers differ (notably SF42).</x:v>
      </x:c>
    </x:row>
    <x:row r="6">
      <x:c r="A6" s="22" t="str">
        <x:v>1. Application domain</x:v>
      </x:c>
      <x:c r="B6" s="22" t="str">
        <x:v>Livestock / integrated farming</x:v>
      </x:c>
      <x:c r="C6" s="22" t="str">
        <x:v>Primary setting is livestock/dairy management or integrated crop–livestock systems.</x:v>
      </x:c>
      <x:c r="D6" s="22" t="n">
        <x:v>6</x:v>
      </x:c>
      <x:c r="E6" s="26" t="n">
        <x:f>D6/53</x:f>
        <x:v>0.11320754716981132</x:v>
      </x:c>
      <x:c r="F6" s="22" t="n">
        <x:v>6</x:v>
      </x:c>
      <x:c r="G6" s="26" t="n">
        <x:f>F6/44</x:f>
        <x:v>0.13636363636363635</x:v>
      </x:c>
      <x:c r="H6" s="22" t="str">
        <x:v>Single-valued per publication</x:v>
      </x:c>
      <x:c r="I6" s="22" t="str">
        <x:v>Family evidence can span &gt;1 domain when related papers differ (notably SF42).</x:v>
      </x:c>
    </x:row>
    <x:row r="7">
      <x:c r="A7" s="22" t="str">
        <x:v>1. Application domain</x:v>
      </x:c>
      <x:c r="B7" s="22" t="str">
        <x:v>Workforce / robotics / task allocation</x:v>
      </x:c>
      <x:c r="C7" s="22" t="str">
        <x:v>Primary setting is labour, harvesting teams, robots, machinery, or spatial task allocation.</x:v>
      </x:c>
      <x:c r="D7" s="22" t="n">
        <x:v>6</x:v>
      </x:c>
      <x:c r="E7" s="26" t="n">
        <x:f>D7/53</x:f>
        <x:v>0.11320754716981132</x:v>
      </x:c>
      <x:c r="F7" s="22" t="n">
        <x:v>4</x:v>
      </x:c>
      <x:c r="G7" s="26" t="n">
        <x:f>F7/44</x:f>
        <x:v>0.09090909090909091</x:v>
      </x:c>
      <x:c r="H7" s="22" t="str">
        <x:v>Single-valued per publication</x:v>
      </x:c>
      <x:c r="I7" s="22" t="str">
        <x:v>Family evidence can span &gt;1 domain when related papers differ (notably SF42).</x:v>
      </x:c>
    </x:row>
    <x:row r="8">
      <x:c r="A8" s="22" t="str">
        <x:v>1. Application domain</x:v>
      </x:c>
      <x:c r="B8" s="22" t="str">
        <x:v>Energy / WEF nexus</x:v>
      </x:c>
      <x:c r="C8" s="22" t="str">
        <x:v>Primary setting is farm energy trading/management or integrated water–energy–food planning.</x:v>
      </x:c>
      <x:c r="D8" s="22" t="n">
        <x:v>5</x:v>
      </x:c>
      <x:c r="E8" s="26" t="n">
        <x:f>D8/53</x:f>
        <x:v>0.09433962264150944</x:v>
      </x:c>
      <x:c r="F8" s="22" t="n">
        <x:v>3</x:v>
      </x:c>
      <x:c r="G8" s="26" t="n">
        <x:f>F8/44</x:f>
        <x:v>0.06818181818181818</x:v>
      </x:c>
      <x:c r="H8" s="22" t="str">
        <x:v>Single-valued per publication</x:v>
      </x:c>
      <x:c r="I8" s="22" t="str">
        <x:v>Family evidence can span &gt;1 domain when related papers differ (notably SF42).</x:v>
      </x:c>
    </x:row>
    <x:row r="9">
      <x:c r="A9" s="22" t="str">
        <x:v>1. Application domain</x:v>
      </x:c>
      <x:c r="B9" s="22" t="str">
        <x:v>Soil / nutrient / environmental management</x:v>
      </x:c>
      <x:c r="C9" s="22" t="str">
        <x:v>Primary setting is soil fertility/conservation, nutrient flows, pesticide/environmental management, or related ecological outcomes.</x:v>
      </x:c>
      <x:c r="D9" s="22" t="n">
        <x:v>4</x:v>
      </x:c>
      <x:c r="E9" s="26" t="n">
        <x:f>D9/53</x:f>
        <x:v>0.07547169811320754</x:v>
      </x:c>
      <x:c r="F9" s="22" t="n">
        <x:v>4</x:v>
      </x:c>
      <x:c r="G9" s="26" t="n">
        <x:f>F9/44</x:f>
        <x:v>0.09090909090909091</x:v>
      </x:c>
      <x:c r="H9" s="22" t="str">
        <x:v>Single-valued per publication</x:v>
      </x:c>
      <x:c r="I9" s="22" t="str">
        <x:v>Family evidence can span &gt;1 domain when related papers differ (notably SF42).</x:v>
      </x:c>
    </x:row>
    <x:row r="10">
      <x:c r="A10" s="22" t="str">
        <x:v>2. Functional purpose</x:v>
      </x:c>
      <x:c r="B10" s="22" t="str">
        <x:v>Operational allocation / control</x:v>
      </x:c>
      <x:c r="C10" s="22" t="str">
        <x:v>Primary purpose is operational allocation, scheduling, optimisation, or real-time/near-real-time control of constrained resources/tasks.</x:v>
      </x:c>
      <x:c r="D10" s="22" t="n">
        <x:v>21</x:v>
      </x:c>
      <x:c r="E10" s="26" t="n">
        <x:f>D10/53</x:f>
        <x:v>0.39622641509433965</x:v>
      </x:c>
      <x:c r="F10" s="22" t="n">
        <x:v>17</x:v>
      </x:c>
      <x:c r="G10" s="26" t="n">
        <x:f>F10/44</x:f>
        <x:v>0.38636363636363635</x:v>
      </x:c>
      <x:c r="H10" s="22" t="str">
        <x:v>Single dominant purpose per publication</x:v>
      </x:c>
      <x:c r="I10" s="22" t="str">
        <x:v>Purpose is a synthesis category derived from Study_Objective + MAS_Application_Purpose.</x:v>
      </x:c>
    </x:row>
    <x:row r="11">
      <x:c r="A11" s="22" t="str">
        <x:v>2. Functional purpose</x:v>
      </x:c>
      <x:c r="B11" s="22" t="str">
        <x:v>Policy / socio-ecological assessment</x:v>
      </x:c>
      <x:c r="C11" s="22" t="str">
        <x:v>Primary purpose is ex-ante or explanatory assessment of policy, scenarios, behaviour, or coupled socio-ecological outcomes.</x:v>
      </x:c>
      <x:c r="D11" s="22" t="n">
        <x:v>17</x:v>
      </x:c>
      <x:c r="E11" s="26" t="n">
        <x:f>D11/53</x:f>
        <x:v>0.32075471698113206</x:v>
      </x:c>
      <x:c r="F11" s="22" t="n">
        <x:v>15</x:v>
      </x:c>
      <x:c r="G11" s="26" t="n">
        <x:f>F11/44</x:f>
        <x:v>0.3409090909090909</x:v>
      </x:c>
      <x:c r="H11" s="22" t="str">
        <x:v>Single dominant purpose per publication</x:v>
      </x:c>
      <x:c r="I11" s="22" t="str">
        <x:v>Purpose is a synthesis category derived from Study_Objective + MAS_Application_Purpose.</x:v>
      </x:c>
    </x:row>
    <x:row r="12">
      <x:c r="A12" s="22" t="str">
        <x:v>2. Functional purpose</x:v>
      </x:c>
      <x:c r="B12" s="22" t="str">
        <x:v>Trading / collective governance</x:v>
      </x:c>
      <x:c r="C12" s="22" t="str">
        <x:v>Primary purpose is market exchange, negotiation, collective action, or governance of shared resources.</x:v>
      </x:c>
      <x:c r="D12" s="22" t="n">
        <x:v>13</x:v>
      </x:c>
      <x:c r="E12" s="26" t="n">
        <x:f>D12/53</x:f>
        <x:v>0.24528301886792453</x:v>
      </x:c>
      <x:c r="F12" s="22" t="n">
        <x:v>10</x:v>
      </x:c>
      <x:c r="G12" s="26" t="n">
        <x:f>F12/44</x:f>
        <x:v>0.22727272727272727</x:v>
      </x:c>
      <x:c r="H12" s="22" t="str">
        <x:v>Single dominant purpose per publication</x:v>
      </x:c>
      <x:c r="I12" s="22" t="str">
        <x:v>Purpose is a synthesis category derived from Study_Objective + MAS_Application_Purpose.</x:v>
      </x:c>
    </x:row>
    <x:row r="13">
      <x:c r="A13" s="22" t="str">
        <x:v>2. Functional purpose</x:v>
      </x:c>
      <x:c r="B13" s="22" t="str">
        <x:v>Decision support / monitoring</x:v>
      </x:c>
      <x:c r="C13" s="22" t="str">
        <x:v>Primary purpose is monitoring, diagnosis, explanation, or advisory decision support rather than direct allocation/governance.</x:v>
      </x:c>
      <x:c r="D13" s="22" t="n">
        <x:v>2</x:v>
      </x:c>
      <x:c r="E13" s="26" t="n">
        <x:f>D13/53</x:f>
        <x:v>0.03773584905660377</x:v>
      </x:c>
      <x:c r="F13" s="22" t="n">
        <x:v>2</x:v>
      </x:c>
      <x:c r="G13" s="26" t="n">
        <x:f>F13/44</x:f>
        <x:v>0.045454545454545456</x:v>
      </x:c>
      <x:c r="H13" s="22" t="str">
        <x:v>Single dominant purpose per publication</x:v>
      </x:c>
      <x:c r="I13" s="22" t="str">
        <x:v>Purpose is a synthesis category derived from Study_Objective + MAS_Application_Purpose.</x:v>
      </x:c>
    </x:row>
    <x:row r="14">
      <x:c r="A14" s="22" t="str">
        <x:v>3. Agent roles</x:v>
      </x:c>
      <x:c r="B14" s="22" t="str">
        <x:v>Farmer / producer</x:v>
      </x:c>
      <x:c r="C14" s="22" t="str">
        <x:v>Autonomous or modelled farmer, farm household, agricultural producer, pastoralist, or comparable primary production actor.</x:v>
      </x:c>
      <x:c r="D14" s="22" t="n">
        <x:v>33</x:v>
      </x:c>
      <x:c r="E14" s="26" t="n">
        <x:f>D14/53</x:f>
        <x:v>0.6226415094339622</x:v>
      </x:c>
      <x:c r="F14" s="22" t="n">
        <x:v>28</x:v>
      </x:c>
      <x:c r="G14" s="26" t="n">
        <x:f>F14/44</x:f>
        <x:v>0.6363636363636364</x:v>
      </x:c>
      <x:c r="H14" s="22" t="str">
        <x:v>Multi-label</x:v>
      </x:c>
      <x:c r="I14" s="22" t="str">
        <x:v>A represented biophysical entity is not automatically an autonomous real-world software agent.</x:v>
      </x:c>
    </x:row>
    <x:row r="15">
      <x:c r="A15" s="22" t="str">
        <x:v>3. Agent roles</x:v>
      </x:c>
      <x:c r="B15" s="22" t="str">
        <x:v>Manager / regulator</x:v>
      </x:c>
      <x:c r="C15" s="22" t="str">
        <x:v>Manager, regulator, moderator, authority, supervisor, or central coordination actor.</x:v>
      </x:c>
      <x:c r="D15" s="22" t="n">
        <x:v>25</x:v>
      </x:c>
      <x:c r="E15" s="26" t="n">
        <x:f>D15/53</x:f>
        <x:v>0.4716981132075472</x:v>
      </x:c>
      <x:c r="F15" s="22" t="n">
        <x:v>19</x:v>
      </x:c>
      <x:c r="G15" s="26" t="n">
        <x:f>F15/44</x:f>
        <x:v>0.4318181818181818</x:v>
      </x:c>
      <x:c r="H15" s="22" t="str">
        <x:v>Multi-label</x:v>
      </x:c>
      <x:c r="I15" s="22" t="str">
        <x:v>A represented biophysical entity is not automatically an autonomous real-world software agent.</x:v>
      </x:c>
    </x:row>
    <x:row r="16">
      <x:c r="A16" s="22" t="str">
        <x:v>3. Agent roles</x:v>
      </x:c>
      <x:c r="B16" s="22" t="str">
        <x:v>Operational / robot</x:v>
      </x:c>
      <x:c r="C16" s="22" t="str">
        <x:v>Operational field, irrigation-machine, worker, robot, machinery, or other task-execution agent.</x:v>
      </x:c>
      <x:c r="D16" s="22" t="n">
        <x:v>17</x:v>
      </x:c>
      <x:c r="E16" s="26" t="n">
        <x:f>D16/53</x:f>
        <x:v>0.32075471698113206</x:v>
      </x:c>
      <x:c r="F16" s="22" t="n">
        <x:v>13</x:v>
      </x:c>
      <x:c r="G16" s="26" t="n">
        <x:f>F16/44</x:f>
        <x:v>0.29545454545454547</x:v>
      </x:c>
      <x:c r="H16" s="22" t="str">
        <x:v>Multi-label</x:v>
      </x:c>
      <x:c r="I16" s="22" t="str">
        <x:v>A represented biophysical entity is not automatically an autonomous real-world software agent.</x:v>
      </x:c>
    </x:row>
    <x:row r="17">
      <x:c r="A17" s="22" t="str">
        <x:v>3. Agent roles</x:v>
      </x:c>
      <x:c r="B17" s="22" t="str">
        <x:v>Specialist / advisory</x:v>
      </x:c>
      <x:c r="C17" s="22" t="str">
        <x:v>Software specialist, analytical, monitoring, research, advisory, decision-support, or orchestration agent.</x:v>
      </x:c>
      <x:c r="D17" s="22" t="n">
        <x:v>11</x:v>
      </x:c>
      <x:c r="E17" s="26" t="n">
        <x:f>D17/53</x:f>
        <x:v>0.20754716981132076</x:v>
      </x:c>
      <x:c r="F17" s="22" t="n">
        <x:v>11</x:v>
      </x:c>
      <x:c r="G17" s="26" t="n">
        <x:f>F17/44</x:f>
        <x:v>0.25</x:v>
      </x:c>
      <x:c r="H17" s="22" t="str">
        <x:v>Multi-label</x:v>
      </x:c>
      <x:c r="I17" s="22" t="str">
        <x:v>A represented biophysical entity is not automatically an autonomous real-world software agent.</x:v>
      </x:c>
    </x:row>
    <x:row r="18">
      <x:c r="A18" s="22" t="str">
        <x:v>3. Agent roles</x:v>
      </x:c>
      <x:c r="B18" s="22" t="str">
        <x:v>Biophysical representation</x:v>
      </x:c>
      <x:c r="C18" s="22" t="str">
        <x:v>Cow/herd, crop, field, parcel, soil, hydrological, environmental, or other biophysical representation participating in the MAS/simulation.</x:v>
      </x:c>
      <x:c r="D18" s="22" t="n">
        <x:v>19</x:v>
      </x:c>
      <x:c r="E18" s="26" t="n">
        <x:f>D18/53</x:f>
        <x:v>0.3584905660377358</x:v>
      </x:c>
      <x:c r="F18" s="22" t="n">
        <x:v>17</x:v>
      </x:c>
      <x:c r="G18" s="26" t="n">
        <x:f>F18/44</x:f>
        <x:v>0.38636363636363635</x:v>
      </x:c>
      <x:c r="H18" s="22" t="str">
        <x:v>Multi-label</x:v>
      </x:c>
      <x:c r="I18" s="22" t="str">
        <x:v>A represented biophysical entity is not automatically an autonomous real-world software agent.</x:v>
      </x:c>
    </x:row>
    <x:row r="19">
      <x:c r="A19" s="22" t="str">
        <x:v>3. Agent roles</x:v>
      </x:c>
      <x:c r="B19" s="22" t="str">
        <x:v>Market / trader</x:v>
      </x:c>
      <x:c r="C19" s="22" t="str">
        <x:v>Bidder, buyer, seller, trader, market participant, or agent whose explicit role is economic exchange.</x:v>
      </x:c>
      <x:c r="D19" s="22" t="n">
        <x:v>11</x:v>
      </x:c>
      <x:c r="E19" s="26" t="n">
        <x:f>D19/53</x:f>
        <x:v>0.20754716981132076</x:v>
      </x:c>
      <x:c r="F19" s="22" t="n">
        <x:v>8</x:v>
      </x:c>
      <x:c r="G19" s="26" t="n">
        <x:f>F19/44</x:f>
        <x:v>0.18181818181818182</x:v>
      </x:c>
      <x:c r="H19" s="22" t="str">
        <x:v>Multi-label</x:v>
      </x:c>
      <x:c r="I19" s="22" t="str">
        <x:v>A represented biophysical entity is not automatically an autonomous real-world software agent.</x:v>
      </x:c>
    </x:row>
    <x:row r="20">
      <x:c r="A20" s="22" t="str">
        <x:v>4. Architecture</x:v>
      </x:c>
      <x:c r="B20" s="22" t="str">
        <x:v>Decentralised</x:v>
      </x:c>
      <x:c r="C20" s="22" t="str">
        <x:v>Decision authority is primarily local to agents; no single controller selects all actions.</x:v>
      </x:c>
      <x:c r="D20" s="22" t="n">
        <x:v>17</x:v>
      </x:c>
      <x:c r="E20" s="26" t="n">
        <x:f>D20/53</x:f>
        <x:v>0.32075471698113206</x:v>
      </x:c>
      <x:c r="F20" s="22" t="n">
        <x:v>16</x:v>
      </x:c>
      <x:c r="G20" s="26" t="n">
        <x:f>F20/44</x:f>
        <x:v>0.36363636363636365</x:v>
      </x:c>
      <x:c r="H20" s="22" t="str">
        <x:v>Single-valued per publication</x:v>
      </x:c>
      <x:c r="I20" s="22" t="str">
        <x:v>Family evidence is non-exclusive when related papers differ; SF42 appears in both Hybrid and Hierarchical evidence.</x:v>
      </x:c>
    </x:row>
    <x:row r="21">
      <x:c r="A21" s="22" t="str">
        <x:v>4. Architecture</x:v>
      </x:c>
      <x:c r="B21" s="22" t="str">
        <x:v>Hybrid</x:v>
      </x:c>
      <x:c r="C21" s="22" t="str">
        <x:v>System combines local/decentralised agent decisions with centralised, hierarchical, or shared optimisation/control components.</x:v>
      </x:c>
      <x:c r="D21" s="22" t="n">
        <x:v>13</x:v>
      </x:c>
      <x:c r="E21" s="26" t="n">
        <x:f>D21/53</x:f>
        <x:v>0.24528301886792453</x:v>
      </x:c>
      <x:c r="F21" s="22" t="n">
        <x:v>11</x:v>
      </x:c>
      <x:c r="G21" s="26" t="n">
        <x:f>F21/44</x:f>
        <x:v>0.25</x:v>
      </x:c>
      <x:c r="H21" s="22" t="str">
        <x:v>Single-valued per publication</x:v>
      </x:c>
      <x:c r="I21" s="22" t="str">
        <x:v>Family evidence is non-exclusive when related papers differ; SF42 appears in both Hybrid and Hierarchical evidence.</x:v>
      </x:c>
    </x:row>
    <x:row r="22">
      <x:c r="A22" s="22" t="str">
        <x:v>4. Architecture</x:v>
      </x:c>
      <x:c r="B22" s="22" t="str">
        <x:v>Hierarchical</x:v>
      </x:c>
      <x:c r="C22" s="22" t="str">
        <x:v>Decision authority is organised explicitly across levels, supervisors, managers, or nested organisational layers.</x:v>
      </x:c>
      <x:c r="D22" s="22" t="n">
        <x:v>11</x:v>
      </x:c>
      <x:c r="E22" s="26" t="n">
        <x:f>D22/53</x:f>
        <x:v>0.20754716981132076</x:v>
      </x:c>
      <x:c r="F22" s="22" t="n">
        <x:v>9</x:v>
      </x:c>
      <x:c r="G22" s="26" t="n">
        <x:f>F22/44</x:f>
        <x:v>0.20454545454545456</x:v>
      </x:c>
      <x:c r="H22" s="22" t="str">
        <x:v>Single-valued per publication</x:v>
      </x:c>
      <x:c r="I22" s="22" t="str">
        <x:v>Family evidence is non-exclusive when related papers differ; SF42 appears in both Hybrid and Hierarchical evidence.</x:v>
      </x:c>
    </x:row>
    <x:row r="23">
      <x:c r="A23" s="22" t="str">
        <x:v>4. Architecture</x:v>
      </x:c>
      <x:c r="B23" s="22" t="str">
        <x:v>Centralised</x:v>
      </x:c>
      <x:c r="C23" s="22" t="str">
        <x:v>A central optimiser/controller/scheduler selects or orchestrates the main multi-agent actions.</x:v>
      </x:c>
      <x:c r="D23" s="22" t="n">
        <x:v>10</x:v>
      </x:c>
      <x:c r="E23" s="26" t="n">
        <x:f>D23/53</x:f>
        <x:v>0.18867924528301888</x:v>
      </x:c>
      <x:c r="F23" s="22" t="n">
        <x:v>7</x:v>
      </x:c>
      <x:c r="G23" s="26" t="n">
        <x:f>F23/44</x:f>
        <x:v>0.1590909090909091</x:v>
      </x:c>
      <x:c r="H23" s="22" t="str">
        <x:v>Single-valued per publication</x:v>
      </x:c>
      <x:c r="I23" s="22" t="str">
        <x:v>Family evidence is non-exclusive when related papers differ; SF42 appears in both Hybrid and Hierarchical evidence.</x:v>
      </x:c>
    </x:row>
    <x:row r="24">
      <x:c r="A24" s="22" t="str">
        <x:v>4. Architecture</x:v>
      </x:c>
      <x:c r="B24" s="22" t="str">
        <x:v>Distributed</x:v>
      </x:c>
      <x:c r="C24" s="22" t="str">
        <x:v>Decision authority and computation are distributed without the stronger local-autonomy emphasis used for the decentralised label.</x:v>
      </x:c>
      <x:c r="D24" s="22" t="n">
        <x:v>2</x:v>
      </x:c>
      <x:c r="E24" s="26" t="n">
        <x:f>D24/53</x:f>
        <x:v>0.03773584905660377</x:v>
      </x:c>
      <x:c r="F24" s="22" t="n">
        <x:v>2</x:v>
      </x:c>
      <x:c r="G24" s="26" t="n">
        <x:f>F24/44</x:f>
        <x:v>0.045454545454545456</x:v>
      </x:c>
      <x:c r="H24" s="22" t="str">
        <x:v>Single-valued per publication</x:v>
      </x:c>
      <x:c r="I24" s="22" t="str">
        <x:v>Family evidence is non-exclusive when related papers differ; SF42 appears in both Hybrid and Hierarchical evidence.</x:v>
      </x:c>
    </x:row>
    <x:row r="25">
      <x:c r="A25" s="22" t="str">
        <x:v>5. Decision paradigm</x:v>
      </x:c>
      <x:c r="B25" s="22" t="str">
        <x:v>Rule-based</x:v>
      </x:c>
      <x:c r="C25" s="22" t="str">
        <x:v>Actions or transitions are selected by explicit rules, thresholds, policies, or heuristics.</x:v>
      </x:c>
      <x:c r="D25" s="22" t="n">
        <x:v>37</x:v>
      </x:c>
      <x:c r="E25" s="26" t="n">
        <x:f>D25/53</x:f>
        <x:v>0.6981132075471698</x:v>
      </x:c>
      <x:c r="F25" s="22" t="n">
        <x:v>31</x:v>
      </x:c>
      <x:c r="G25" s="26" t="n">
        <x:f>F25/44</x:f>
        <x:v>0.7045454545454546</x:v>
      </x:c>
      <x:c r="H25" s="22" t="str">
        <x:v>Multi-label</x:v>
      </x:c>
      <x:c r="I25" s="22" t="str">
        <x:v>Utility/risk-based coding is normalised into Utility / economic.</x:v>
      </x:c>
    </x:row>
    <x:row r="26">
      <x:c r="A26" s="22" t="str">
        <x:v>5. Decision paradigm</x:v>
      </x:c>
      <x:c r="B26" s="22" t="str">
        <x:v>Utility / economic</x:v>
      </x:c>
      <x:c r="C26" s="22" t="str">
        <x:v>Agents optimise or choose according to utility, profit, risk, economic objectives, or related preference functions.</x:v>
      </x:c>
      <x:c r="D26" s="22" t="n">
        <x:v>20</x:v>
      </x:c>
      <x:c r="E26" s="26" t="n">
        <x:f>D26/53</x:f>
        <x:v>0.37735849056603776</x:v>
      </x:c>
      <x:c r="F26" s="22" t="n">
        <x:v>17</x:v>
      </x:c>
      <x:c r="G26" s="26" t="n">
        <x:f>F26/44</x:f>
        <x:v>0.38636363636363635</x:v>
      </x:c>
      <x:c r="H26" s="22" t="str">
        <x:v>Multi-label</x:v>
      </x:c>
      <x:c r="I26" s="22" t="str">
        <x:v>Utility/risk-based coding is normalised into Utility / economic.</x:v>
      </x:c>
    </x:row>
    <x:row r="27">
      <x:c r="A27" s="22" t="str">
        <x:v>5. Decision paradigm</x:v>
      </x:c>
      <x:c r="B27" s="22" t="str">
        <x:v>Learning-based</x:v>
      </x:c>
      <x:c r="C27" s="22" t="str">
        <x:v>Agents adapt decision policies from data/experience using learning methods, including reinforcement learning.</x:v>
      </x:c>
      <x:c r="D27" s="22" t="n">
        <x:v>11</x:v>
      </x:c>
      <x:c r="E27" s="26" t="n">
        <x:f>D27/53</x:f>
        <x:v>0.20754716981132076</x:v>
      </x:c>
      <x:c r="F27" s="22" t="n">
        <x:v>10</x:v>
      </x:c>
      <x:c r="G27" s="26" t="n">
        <x:f>F27/44</x:f>
        <x:v>0.22727272727272727</x:v>
      </x:c>
      <x:c r="H27" s="22" t="str">
        <x:v>Multi-label</x:v>
      </x:c>
      <x:c r="I27" s="22" t="str">
        <x:v>Utility/risk-based coding is normalised into Utility / economic.</x:v>
      </x:c>
    </x:row>
    <x:row r="28">
      <x:c r="A28" s="22" t="str">
        <x:v>5. Decision paradigm</x:v>
      </x:c>
      <x:c r="B28" s="22" t="str">
        <x:v>BDI</x:v>
      </x:c>
      <x:c r="C28" s="22" t="str">
        <x:v>Belief–Desire–Intention or closely related deliberative agent paradigm.</x:v>
      </x:c>
      <x:c r="D28" s="22" t="n">
        <x:v>2</x:v>
      </x:c>
      <x:c r="E28" s="26" t="n">
        <x:f>D28/53</x:f>
        <x:v>0.03773584905660377</x:v>
      </x:c>
      <x:c r="F28" s="22" t="n">
        <x:v>1</x:v>
      </x:c>
      <x:c r="G28" s="26" t="n">
        <x:f>F28/44</x:f>
        <x:v>0.022727272727272728</x:v>
      </x:c>
      <x:c r="H28" s="22" t="str">
        <x:v>Multi-label</x:v>
      </x:c>
      <x:c r="I28" s="22" t="str">
        <x:v>Utility/risk-based coding is normalised into Utility / economic.</x:v>
      </x:c>
    </x:row>
    <x:row r="29">
      <x:c r="A29" s="22" t="str">
        <x:v>5. Decision paradigm</x:v>
      </x:c>
      <x:c r="B29" s="22" t="str">
        <x:v>Reactive</x:v>
      </x:c>
      <x:c r="C29" s="22" t="str">
        <x:v>Primarily reactive perception–action behaviour without richer deliberative state.</x:v>
      </x:c>
      <x:c r="D29" s="22" t="n">
        <x:v>2</x:v>
      </x:c>
      <x:c r="E29" s="26" t="n">
        <x:f>D29/53</x:f>
        <x:v>0.03773584905660377</x:v>
      </x:c>
      <x:c r="F29" s="22" t="n">
        <x:v>2</x:v>
      </x:c>
      <x:c r="G29" s="26" t="n">
        <x:f>F29/44</x:f>
        <x:v>0.045454545454545456</x:v>
      </x:c>
      <x:c r="H29" s="22" t="str">
        <x:v>Multi-label</x:v>
      </x:c>
      <x:c r="I29" s="22" t="str">
        <x:v>Utility/risk-based coding is normalised into Utility / economic.</x:v>
      </x:c>
    </x:row>
    <x:row r="30">
      <x:c r="A30" s="22" t="str">
        <x:v>5. Decision paradigm</x:v>
      </x:c>
      <x:c r="B30" s="22" t="str">
        <x:v>Case-based reasoning</x:v>
      </x:c>
      <x:c r="C30" s="22" t="str">
        <x:v>Case-based reasoning is an explicit decision paradigm.</x:v>
      </x:c>
      <x:c r="D30" s="22" t="n">
        <x:v>1</x:v>
      </x:c>
      <x:c r="E30" s="26" t="n">
        <x:f>D30/53</x:f>
        <x:v>0.018867924528301886</x:v>
      </x:c>
      <x:c r="F30" s="22" t="n">
        <x:v>1</x:v>
      </x:c>
      <x:c r="G30" s="26" t="n">
        <x:f>F30/44</x:f>
        <x:v>0.022727272727272728</x:v>
      </x:c>
      <x:c r="H30" s="22" t="str">
        <x:v>Multi-label</x:v>
      </x:c>
      <x:c r="I30" s="22" t="str">
        <x:v>Utility/risk-based coding is normalised into Utility / economic.</x:v>
      </x:c>
    </x:row>
    <x:row r="31">
      <x:c r="A31" s="22" t="str">
        <x:v>5. Decision paradigm</x:v>
      </x:c>
      <x:c r="B31" s="22" t="str">
        <x:v>LLM-based</x:v>
      </x:c>
      <x:c r="C31" s="22" t="str">
        <x:v>Large-language-model reasoning/routing is an explicit part of agent decision logic.</x:v>
      </x:c>
      <x:c r="D31" s="22" t="n">
        <x:v>1</x:v>
      </x:c>
      <x:c r="E31" s="26" t="n">
        <x:f>D31/53</x:f>
        <x:v>0.018867924528301886</x:v>
      </x:c>
      <x:c r="F31" s="22" t="n">
        <x:v>1</x:v>
      </x:c>
      <x:c r="G31" s="26" t="n">
        <x:f>F31/44</x:f>
        <x:v>0.022727272727272728</x:v>
      </x:c>
      <x:c r="H31" s="22" t="str">
        <x:v>Multi-label</x:v>
      </x:c>
      <x:c r="I31" s="22" t="str">
        <x:v>Utility/risk-based coding is normalised into Utility / economic.</x:v>
      </x:c>
    </x:row>
    <x:row r="32">
      <x:c r="A32" s="22" t="str">
        <x:v>5. Decision paradigm</x:v>
      </x:c>
      <x:c r="B32" s="22" t="str">
        <x:v>Other</x:v>
      </x:c>
      <x:c r="C32" s="22" t="str">
        <x:v>Extracted paradigm does not fit the standard categories above.</x:v>
      </x:c>
      <x:c r="D32" s="22" t="n">
        <x:v>1</x:v>
      </x:c>
      <x:c r="E32" s="26" t="n">
        <x:f>D32/53</x:f>
        <x:v>0.018867924528301886</x:v>
      </x:c>
      <x:c r="F32" s="22" t="n">
        <x:v>1</x:v>
      </x:c>
      <x:c r="G32" s="26" t="n">
        <x:f>F32/44</x:f>
        <x:v>0.022727272727272728</x:v>
      </x:c>
      <x:c r="H32" s="22" t="str">
        <x:v>Multi-label</x:v>
      </x:c>
      <x:c r="I32" s="22" t="str">
        <x:v>Utility/risk-based coding is normalised into Utility / economic.</x:v>
      </x:c>
    </x:row>
    <x:row r="33">
      <x:c r="A33" s="22" t="str">
        <x:v>5. Decision paradigm</x:v>
      </x:c>
      <x:c r="B33" s="22" t="str">
        <x:v>NR</x:v>
      </x:c>
      <x:c r="C33" s="22" t="str">
        <x:v>Agent paradigm is not reported clearly enough for classification.</x:v>
      </x:c>
      <x:c r="D33" s="22" t="n">
        <x:v>6</x:v>
      </x:c>
      <x:c r="E33" s="26" t="n">
        <x:f>D33/53</x:f>
        <x:v>0.11320754716981132</x:v>
      </x:c>
      <x:c r="F33" s="22" t="n">
        <x:v>5</x:v>
      </x:c>
      <x:c r="G33" s="26" t="n">
        <x:f>F33/44</x:f>
        <x:v>0.11363636363636363</x:v>
      </x:c>
      <x:c r="H33" s="22" t="str">
        <x:v>Multi-label</x:v>
      </x:c>
      <x:c r="I33" s="22" t="str">
        <x:v>Utility/risk-based coding is normalised into Utility / economic.</x:v>
      </x:c>
    </x:row>
    <x:row r="34">
      <x:c r="A34" s="22" t="str">
        <x:v>6. Coordination mechanism</x:v>
      </x:c>
      <x:c r="B34" s="22" t="str">
        <x:v>Hierarchical / supervisory</x:v>
      </x:c>
      <x:c r="C34" s="22" t="str">
        <x:v>A supervisor, coordinator, manager, auctioneer/controller, or shared decision layer orchestrates actions or information.</x:v>
      </x:c>
      <x:c r="D34" s="22" t="n">
        <x:v>25</x:v>
      </x:c>
      <x:c r="E34" s="26" t="n">
        <x:f>D34/53</x:f>
        <x:v>0.4716981132075472</x:v>
      </x:c>
      <x:c r="F34" s="22" t="n">
        <x:v>19</x:v>
      </x:c>
      <x:c r="G34" s="26" t="n">
        <x:f>F34/44</x:f>
        <x:v>0.4318181818181818</x:v>
      </x:c>
      <x:c r="H34" s="22" t="str">
        <x:v>Multi-label</x:v>
      </x:c>
      <x:c r="I34" s="22" t="str">
        <x:v>Auctions/markets are not counted as direct negotiation unless bargaining/agreement is explicitly supported.</x:v>
      </x:c>
    </x:row>
    <x:row r="35">
      <x:c r="A35" s="22" t="str">
        <x:v>6. Coordination mechanism</x:v>
      </x:c>
      <x:c r="B35" s="22" t="str">
        <x:v>Environment / shared-resource mediated</x:v>
      </x:c>
      <x:c r="C35" s="22" t="str">
        <x:v>Agents interact indirectly through shared water, pasture, soil, environmental state, resource stocks, or other common-state feedback.</x:v>
      </x:c>
      <x:c r="D35" s="22" t="n">
        <x:v>20</x:v>
      </x:c>
      <x:c r="E35" s="26" t="n">
        <x:f>D35/53</x:f>
        <x:v>0.37735849056603776</x:v>
      </x:c>
      <x:c r="F35" s="22" t="n">
        <x:v>18</x:v>
      </x:c>
      <x:c r="G35" s="26" t="n">
        <x:f>F35/44</x:f>
        <x:v>0.4090909090909091</x:v>
      </x:c>
      <x:c r="H35" s="22" t="str">
        <x:v>Multi-label</x:v>
      </x:c>
      <x:c r="I35" s="22" t="str">
        <x:v>Auctions/markets are not counted as direct negotiation unless bargaining/agreement is explicitly supported.</x:v>
      </x:c>
    </x:row>
    <x:row r="36">
      <x:c r="A36" s="22" t="str">
        <x:v>6. Coordination mechanism</x:v>
      </x:c>
      <x:c r="B36" s="22" t="str">
        <x:v>Optimisation / scheduling</x:v>
      </x:c>
      <x:c r="C36" s="22" t="str">
        <x:v>Coordination is achieved through explicit optimisation, allocation, scheduling, MPC, task assignment, or comparable operational planning.</x:v>
      </x:c>
      <x:c r="D36" s="22" t="n">
        <x:v>16</x:v>
      </x:c>
      <x:c r="E36" s="26" t="n">
        <x:f>D36/53</x:f>
        <x:v>0.3018867924528302</x:v>
      </x:c>
      <x:c r="F36" s="22" t="n">
        <x:v>12</x:v>
      </x:c>
      <x:c r="G36" s="26" t="n">
        <x:f>F36/44</x:f>
        <x:v>0.2727272727272727</x:v>
      </x:c>
      <x:c r="H36" s="22" t="str">
        <x:v>Multi-label</x:v>
      </x:c>
      <x:c r="I36" s="22" t="str">
        <x:v>Auctions/markets are not counted as direct negotiation unless bargaining/agreement is explicitly supported.</x:v>
      </x:c>
    </x:row>
    <x:row r="37">
      <x:c r="A37" s="22" t="str">
        <x:v>6. Coordination mechanism</x:v>
      </x:c>
      <x:c r="B37" s="22" t="str">
        <x:v>Auction / market</x:v>
      </x:c>
      <x:c r="C37" s="22" t="str">
        <x:v>Coordination is mediated by auctions, bids, prices, markets, trading, or market-clearing mechanisms.</x:v>
      </x:c>
      <x:c r="D37" s="22" t="n">
        <x:v>15</x:v>
      </x:c>
      <x:c r="E37" s="26" t="n">
        <x:f>D37/53</x:f>
        <x:v>0.2830188679245283</x:v>
      </x:c>
      <x:c r="F37" s="22" t="n">
        <x:v>10</x:v>
      </x:c>
      <x:c r="G37" s="26" t="n">
        <x:f>F37/44</x:f>
        <x:v>0.22727272727272727</x:v>
      </x:c>
      <x:c r="H37" s="22" t="str">
        <x:v>Multi-label</x:v>
      </x:c>
      <x:c r="I37" s="22" t="str">
        <x:v>Auctions/markets are not counted as direct negotiation unless bargaining/agreement is explicitly supported.</x:v>
      </x:c>
    </x:row>
    <x:row r="38">
      <x:c r="A38" s="22" t="str">
        <x:v>6. Coordination mechanism</x:v>
      </x:c>
      <x:c r="B38" s="22" t="str">
        <x:v>Peer diffusion / exchange</x:v>
      </x:c>
      <x:c r="C38" s="22" t="str">
        <x:v>Agents share information or innovations through neighbours, social networks, peer learning, or diffusion processes.</x:v>
      </x:c>
      <x:c r="D38" s="22" t="n">
        <x:v>13</x:v>
      </x:c>
      <x:c r="E38" s="26" t="n">
        <x:f>D38/53</x:f>
        <x:v>0.24528301886792453</x:v>
      </x:c>
      <x:c r="F38" s="22" t="n">
        <x:v>13</x:v>
      </x:c>
      <x:c r="G38" s="26" t="n">
        <x:f>F38/44</x:f>
        <x:v>0.29545454545454547</x:v>
      </x:c>
      <x:c r="H38" s="22" t="str">
        <x:v>Multi-label</x:v>
      </x:c>
      <x:c r="I38" s="22" t="str">
        <x:v>Auctions/markets are not counted as direct negotiation unless bargaining/agreement is explicitly supported.</x:v>
      </x:c>
    </x:row>
    <x:row r="39">
      <x:c r="A39" s="22" t="str">
        <x:v>6. Coordination mechanism</x:v>
      </x:c>
      <x:c r="B39" s="22" t="str">
        <x:v>Learning / MARL</x:v>
      </x:c>
      <x:c r="C39" s="22" t="str">
        <x:v>Coordination/adaptation depends on learned policies, MARL, or related adaptive learning.</x:v>
      </x:c>
      <x:c r="D39" s="22" t="n">
        <x:v>9</x:v>
      </x:c>
      <x:c r="E39" s="26" t="n">
        <x:f>D39/53</x:f>
        <x:v>0.16981132075471697</x:v>
      </x:c>
      <x:c r="F39" s="22" t="n">
        <x:v>8</x:v>
      </x:c>
      <x:c r="G39" s="26" t="n">
        <x:f>F39/44</x:f>
        <x:v>0.18181818181818182</x:v>
      </x:c>
      <x:c r="H39" s="22" t="str">
        <x:v>Multi-label</x:v>
      </x:c>
      <x:c r="I39" s="22" t="str">
        <x:v>Auctions/markets are not counted as direct negotiation unless bargaining/agreement is explicitly supported.</x:v>
      </x:c>
    </x:row>
    <x:row r="40">
      <x:c r="A40" s="22" t="str">
        <x:v>6. Coordination mechanism</x:v>
      </x:c>
      <x:c r="B40" s="22" t="str">
        <x:v>Direct negotiation / agreements</x:v>
      </x:c>
      <x:c r="C40" s="22" t="str">
        <x:v>Agents or organisational actors directly negotiate, bargain, or form collective agreements.</x:v>
      </x:c>
      <x:c r="D40" s="22" t="n">
        <x:v>8</x:v>
      </x:c>
      <x:c r="E40" s="26" t="n">
        <x:f>D40/53</x:f>
        <x:v>0.1509433962264151</x:v>
      </x:c>
      <x:c r="F40" s="22" t="n">
        <x:v>7</x:v>
      </x:c>
      <x:c r="G40" s="26" t="n">
        <x:f>F40/44</x:f>
        <x:v>0.1590909090909091</x:v>
      </x:c>
      <x:c r="H40" s="22" t="str">
        <x:v>Multi-label</x:v>
      </x:c>
      <x:c r="I40" s="22" t="str">
        <x:v>Auctions/markets are not counted as direct negotiation unless bargaining/agreement is explicitly supported.</x:v>
      </x:c>
    </x:row>
  </x:sheetData>
  <x:mergeCells>
    <x:mergeCell ref="A1:I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3" ySplit="3" topLeftCell="D4" activePane="bottomRight" state="frozen"/>
    </x:sheetView>
  </x:sheetViews>
  <x:sheetFormatPr defaultRowHeight="15"/>
  <x:cols>
    <x:col min="1" max="1" width="10" hidden="0" customWidth="1"/>
    <x:col min="2" max="2" width="10" hidden="0" customWidth="1"/>
    <x:col min="3" max="3" width="8" hidden="0" customWidth="1"/>
    <x:col min="4" max="4" width="30" hidden="0" customWidth="1"/>
    <x:col min="5" max="5" width="33" hidden="0" customWidth="1"/>
    <x:col min="6" max="6" width="16" hidden="0" customWidth="1"/>
    <x:col min="7" max="7" width="55" hidden="0" customWidth="1"/>
    <x:col min="8" max="8" width="32" hidden="0" customWidth="1"/>
    <x:col min="9" max="9" width="58" hidden="0" customWidth="1"/>
    <x:col min="10" max="10" width="17" hidden="0" customWidth="1"/>
    <x:col min="11" max="11" width="16" hidden="0" customWidth="1"/>
    <x:col min="12" max="12" width="15" hidden="0" customWidth="1"/>
    <x:col min="13" max="13" width="16" hidden="0" customWidth="1"/>
    <x:col min="14" max="14" width="35" hidden="0" customWidth="1"/>
    <x:col min="15" max="15" width="48" hidden="0" customWidth="1"/>
    <x:col min="16" max="16" width="13" hidden="0" customWidth="1"/>
    <x:col min="17" max="17" width="9" hidden="0" customWidth="1"/>
    <x:col min="18" max="18" width="12" hidden="0" customWidth="1"/>
    <x:col min="19" max="19" width="12" hidden="0" customWidth="1"/>
    <x:col min="20" max="20" width="62" hidden="0" customWidth="1"/>
  </x:cols>
  <x:sheetData>
    <x:row r="1" ht="28" customHeight="1">
      <x:c r="A1" s="5" t="str">
        <x:v>53-Publication Taxonomy and Evidence Map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</x:row>
    <x:row r="3">
      <x:c r="A3" s="14" t="str">
        <x:v>Study ID</x:v>
      </x:c>
      <x:c r="B3" s="14" t="str">
        <x:v>Family ID</x:v>
      </x:c>
      <x:c r="C3" s="14" t="str">
        <x:v>Year</x:v>
      </x:c>
      <x:c r="D3" s="14" t="str">
        <x:v>Primary domain</x:v>
      </x:c>
      <x:c r="E3" s="14" t="str">
        <x:v>Primary purpose</x:v>
      </x:c>
      <x:c r="F3" s="14" t="str">
        <x:v>Architecture</x:v>
      </x:c>
      <x:c r="G3" s="14" t="str">
        <x:v>Agent roles</x:v>
      </x:c>
      <x:c r="H3" s="14" t="str">
        <x:v>Decision paradigms</x:v>
      </x:c>
      <x:c r="I3" s="14" t="str">
        <x:v>Coordination mechanisms</x:v>
      </x:c>
      <x:c r="J3" s="14" t="str">
        <x:v>Integration scope</x:v>
      </x:c>
      <x:c r="K3" s="14" t="str">
        <x:v>Maturity</x:v>
      </x:c>
      <x:c r="L3" s="14" t="str">
        <x:v>Sustainability</x:v>
      </x:c>
      <x:c r="M3" s="14" t="str">
        <x:v>Resource constraint</x:v>
      </x:c>
      <x:c r="N3" s="14" t="str">
        <x:v>RQ3 outcome direction</x:v>
      </x:c>
      <x:c r="O3" s="14" t="str">
        <x:v>RQ4 comparator tags</x:v>
      </x:c>
      <x:c r="P3" s="14" t="str">
        <x:v>Deployment</x:v>
      </x:c>
      <x:c r="Q3" s="14" t="str">
        <x:v>QA /14</x:v>
      </x:c>
      <x:c r="R3" s="14" t="str">
        <x:v>Code available</x:v>
      </x:c>
      <x:c r="S3" s="14" t="str">
        <x:v>Data available</x:v>
      </x:c>
      <x:c r="T3" s="14" t="str">
        <x:v>Title</x:v>
      </x:c>
    </x:row>
    <x:row r="4">
      <x:c r="A4" s="22" t="str">
        <x:v>S01</x:v>
      </x:c>
      <x:c r="B4" s="22" t="str">
        <x:v>SF01</x:v>
      </x:c>
      <x:c r="C4" s="22" t="n">
        <x:v>2018</x:v>
      </x:c>
      <x:c r="D4" s="22" t="str">
        <x:v>Livestock / integrated farming</x:v>
      </x:c>
      <x:c r="E4" s="22" t="str">
        <x:v>Policy / socio-ecological assessment</x:v>
      </x:c>
      <x:c r="F4" s="22" t="str">
        <x:v>Decentralised</x:v>
      </x:c>
      <x:c r="G4" s="22" t="str">
        <x:v>Farmer / producer</x:v>
      </x:c>
      <x:c r="H4" s="22" t="str">
        <x:v>Rule-based</x:v>
      </x:c>
      <x:c r="I4" s="22" t="str">
        <x:v>Environment / shared-resource mediated</x:v>
      </x:c>
      <x:c r="J4" s="22" t="str">
        <x:v>Integrated-system</x:v>
      </x:c>
      <x:c r="K4" s="22" t="str">
        <x:v>Simulation</x:v>
      </x:c>
      <x:c r="L4" s="22" t="str">
        <x:v>Direct</x:v>
      </x:c>
      <x:c r="M4" s="22" t="str">
        <x:v>Yes</x:v>
      </x:c>
      <x:c r="N4" s="22" t="str">
        <x:v>Descriptive / feasibility / no directional conclusion</x:v>
      </x:c>
      <x:c r="O4" s="22" t="str">
        <x:v>Scenario/policy/reference comparison</x:v>
      </x:c>
      <x:c r="P4" s="22" t="str">
        <x:v>No</x:v>
      </x:c>
      <x:c r="Q4" s="22" t="n">
        <x:v>13</x:v>
      </x:c>
      <x:c r="R4" s="22" t="str">
        <x:v>NR</x:v>
      </x:c>
      <x:c r="S4" s="22" t="str">
        <x:v>NR</x:v>
      </x:c>
      <x:c r="T4" s="22" t="str">
        <x:v>Polarization in (post)nomadic resource use in Eastern Morocco: insights using a multi-agent simulation model</x:v>
      </x:c>
    </x:row>
    <x:row r="5">
      <x:c r="A5" s="22" t="str">
        <x:v>S02</x:v>
      </x:c>
      <x:c r="B5" s="22" t="str">
        <x:v>SF02</x:v>
      </x:c>
      <x:c r="C5" s="22" t="n">
        <x:v>2019</x:v>
      </x:c>
      <x:c r="D5" s="22" t="str">
        <x:v>Crop / farm management</x:v>
      </x:c>
      <x:c r="E5" s="22" t="str">
        <x:v>Operational allocation / control</x:v>
      </x:c>
      <x:c r="F5" s="22" t="str">
        <x:v>Hybrid</x:v>
      </x:c>
      <x:c r="G5" s="22" t="str">
        <x:v>Specialist / advisory; Operational / robot; Manager / regulator; Biophysical representation</x:v>
      </x:c>
      <x:c r="H5" s="22" t="str">
        <x:v>Utility / economic; Rule-based</x:v>
      </x:c>
      <x:c r="I5" s="22" t="str">
        <x:v>Hierarchical / supervisory; Direct negotiation / agreements; Optimisation / scheduling</x:v>
      </x:c>
      <x:c r="J5" s="22" t="str">
        <x:v>Integrated-system</x:v>
      </x:c>
      <x:c r="K5" s="22" t="str">
        <x:v>Field pilot</x:v>
      </x:c>
      <x:c r="L5" s="22" t="str">
        <x:v>Indirect</x:v>
      </x:c>
      <x:c r="M5" s="22" t="str">
        <x:v>Yes</x:v>
      </x:c>
      <x:c r="N5" s="22" t="str">
        <x:v>Favourable (conditional/simulated)</x:v>
      </x:c>
      <x:c r="O5" s="22" t="str">
        <x:v>Historical/real-practice comparison</x:v>
      </x:c>
      <x:c r="P5" s="22" t="str">
        <x:v>Yes</x:v>
      </x:c>
      <x:c r="Q5" s="22" t="n">
        <x:v>9</x:v>
      </x:c>
      <x:c r="R5" s="22" t="str">
        <x:v>NR</x:v>
      </x:c>
      <x:c r="S5" s="22" t="str">
        <x:v>NR</x:v>
      </x:c>
      <x:c r="T5" s="22" t="str">
        <x:v>Smart Farming – Open Multi-agent Platform and Eco-System of Smart Services for Precision Farming</x:v>
      </x:c>
    </x:row>
    <x:row r="6">
      <x:c r="A6" s="22" t="str">
        <x:v>S03</x:v>
      </x:c>
      <x:c r="B6" s="22" t="str">
        <x:v>SF03</x:v>
      </x:c>
      <x:c r="C6" s="22" t="n">
        <x:v>2023</x:v>
      </x:c>
      <x:c r="D6" s="22" t="str">
        <x:v>Crop / farm management</x:v>
      </x:c>
      <x:c r="E6" s="22" t="str">
        <x:v>Policy / socio-ecological assessment</x:v>
      </x:c>
      <x:c r="F6" s="22" t="str">
        <x:v>Decentralised</x:v>
      </x:c>
      <x:c r="G6" s="22" t="str">
        <x:v>Farmer / producer; Market / trader</x:v>
      </x:c>
      <x:c r="H6" s="22" t="str">
        <x:v>Utility / economic; Rule-based</x:v>
      </x:c>
      <x:c r="I6" s="22" t="str">
        <x:v>Environment / shared-resource mediated; Auction / market</x:v>
      </x:c>
      <x:c r="J6" s="22" t="str">
        <x:v>Integrated-system</x:v>
      </x:c>
      <x:c r="K6" s="22" t="str">
        <x:v>Simulation</x:v>
      </x:c>
      <x:c r="L6" s="22" t="str">
        <x:v>Indirect</x:v>
      </x:c>
      <x:c r="M6" s="22" t="str">
        <x:v>Yes</x:v>
      </x:c>
      <x:c r="N6" s="22" t="str">
        <x:v>Mixed / trade-off / scenario-dependent</x:v>
      </x:c>
      <x:c r="O6" s="22" t="str">
        <x:v>Observed-data calibration/validation; Scenario/policy/reference comparison</x:v>
      </x:c>
      <x:c r="P6" s="22" t="str">
        <x:v>No</x:v>
      </x:c>
      <x:c r="Q6" s="22" t="n">
        <x:v>14</x:v>
      </x:c>
      <x:c r="R6" s="22" t="str">
        <x:v>NR</x:v>
      </x:c>
      <x:c r="S6" s="22" t="str">
        <x:v>Yes</x:v>
      </x:c>
      <x:c r="T6" s="22" t="str">
        <x:v>Assessing seed and breeding interventions for organic farming using a multiagent value chain approach</x:v>
      </x:c>
    </x:row>
    <x:row r="7">
      <x:c r="A7" s="22" t="str">
        <x:v>S04</x:v>
      </x:c>
      <x:c r="B7" s="22" t="str">
        <x:v>SF04</x:v>
      </x:c>
      <x:c r="C7" s="22" t="n">
        <x:v>2026</x:v>
      </x:c>
      <x:c r="D7" s="22" t="str">
        <x:v>Livestock / integrated farming</x:v>
      </x:c>
      <x:c r="E7" s="22" t="str">
        <x:v>Decision support / monitoring</x:v>
      </x:c>
      <x:c r="F7" s="22" t="str">
        <x:v>Centralised</x:v>
      </x:c>
      <x:c r="G7" s="22" t="str">
        <x:v>Specialist / advisory; Biophysical representation</x:v>
      </x:c>
      <x:c r="H7" s="22" t="str">
        <x:v>LLM-based</x:v>
      </x:c>
      <x:c r="I7" s="22" t="str">
        <x:v>Hierarchical / supervisory</x:v>
      </x:c>
      <x:c r="J7" s="22" t="str">
        <x:v>Single-domain</x:v>
      </x:c>
      <x:c r="K7" s="22" t="str">
        <x:v>Prototype</x:v>
      </x:c>
      <x:c r="L7" s="22" t="str">
        <x:v>Not addressed</x:v>
      </x:c>
      <x:c r="M7" s="22" t="str">
        <x:v>No</x:v>
      </x:c>
      <x:c r="N7" s="22" t="str">
        <x:v>No direct agricultural outcome evaluated</x:v>
      </x:c>
      <x:c r="O7" s="22" t="str">
        <x:v>Algorithmic/method baseline</x:v>
      </x:c>
      <x:c r="P7" s="22" t="str">
        <x:v>No</x:v>
      </x:c>
      <x:c r="Q7" s="22" t="n">
        <x:v>14</x:v>
      </x:c>
      <x:c r="R7" s="22" t="str">
        <x:v>Yes</x:v>
      </x:c>
      <x:c r="S7" s="22" t="str">
        <x:v>Yes</x:v>
      </x:c>
      <x:c r="T7" s="22" t="str">
        <x:v>CowNet-AI: A Multi-Agent Decision Support Framework for Social Network–Driven Welfare Insights in Dairy Cattle</x:v>
      </x:c>
    </x:row>
    <x:row r="8">
      <x:c r="A8" s="22" t="str">
        <x:v>S05</x:v>
      </x:c>
      <x:c r="B8" s="22" t="str">
        <x:v>SF05</x:v>
      </x:c>
      <x:c r="C8" s="22" t="n">
        <x:v>2024</x:v>
      </x:c>
      <x:c r="D8" s="22" t="str">
        <x:v>Energy / WEF nexus</x:v>
      </x:c>
      <x:c r="E8" s="22" t="str">
        <x:v>Trading / collective governance</x:v>
      </x:c>
      <x:c r="F8" s="22" t="str">
        <x:v>Hybrid</x:v>
      </x:c>
      <x:c r="G8" s="22" t="str">
        <x:v>Farmer / producer; Market / trader; Specialist / advisory</x:v>
      </x:c>
      <x:c r="H8" s="22" t="str">
        <x:v>Rule-based</x:v>
      </x:c>
      <x:c r="I8" s="22" t="str">
        <x:v>Auction / market; Hierarchical / supervisory</x:v>
      </x:c>
      <x:c r="J8" s="22" t="str">
        <x:v>Single-domain</x:v>
      </x:c>
      <x:c r="K8" s="22" t="str">
        <x:v>Simulation</x:v>
      </x:c>
      <x:c r="L8" s="22" t="str">
        <x:v>Indirect</x:v>
      </x:c>
      <x:c r="M8" s="22" t="str">
        <x:v>Yes</x:v>
      </x:c>
      <x:c r="N8" s="22" t="str">
        <x:v>Favourable (conditional/simulated)</x:v>
      </x:c>
      <x:c r="O8" s="22" t="str">
        <x:v>Operational/heuristic counterfactual; Scenario/policy/reference comparison</x:v>
      </x:c>
      <x:c r="P8" s="22" t="str">
        <x:v>No</x:v>
      </x:c>
      <x:c r="Q8" s="22" t="n">
        <x:v>14</x:v>
      </x:c>
      <x:c r="R8" s="22" t="str">
        <x:v>NR</x:v>
      </x:c>
      <x:c r="S8" s="22" t="str">
        <x:v>No</x:v>
      </x:c>
      <x:c r="T8" s="22" t="str">
        <x:v>Peer-to-peer energy trading in dairy farms using multi-agent systems</x:v>
      </x:c>
    </x:row>
    <x:row r="9">
      <x:c r="A9" s="22" t="str">
        <x:v>S06</x:v>
      </x:c>
      <x:c r="B9" s="22" t="str">
        <x:v>SF06</x:v>
      </x:c>
      <x:c r="C9" s="22" t="n">
        <x:v>2022</x:v>
      </x:c>
      <x:c r="D9" s="22" t="str">
        <x:v>Irrigation / water management</x:v>
      </x:c>
      <x:c r="E9" s="22" t="str">
        <x:v>Operational allocation / control</x:v>
      </x:c>
      <x:c r="F9" s="22" t="str">
        <x:v>Hierarchical</x:v>
      </x:c>
      <x:c r="G9" s="22" t="str">
        <x:v>Operational / robot; Manager / regulator; Specialist / advisory</x:v>
      </x:c>
      <x:c r="H9" s="22" t="str">
        <x:v>Utility / economic; Rule-based</x:v>
      </x:c>
      <x:c r="I9" s="22" t="str">
        <x:v>Hierarchical / supervisory; Direct negotiation / agreements</x:v>
      </x:c>
      <x:c r="J9" s="22" t="str">
        <x:v>Single-domain</x:v>
      </x:c>
      <x:c r="K9" s="22" t="str">
        <x:v>Field pilot</x:v>
      </x:c>
      <x:c r="L9" s="22" t="str">
        <x:v>Direct</x:v>
      </x:c>
      <x:c r="M9" s="22" t="str">
        <x:v>Yes</x:v>
      </x:c>
      <x:c r="N9" s="22" t="str">
        <x:v>Mixed / trade-off / scenario-dependent</x:v>
      </x:c>
      <x:c r="O9" s="22" t="str">
        <x:v>Operational/heuristic counterfactual; Scenario/policy/reference comparison</x:v>
      </x:c>
      <x:c r="P9" s="22" t="str">
        <x:v>Partial</x:v>
      </x:c>
      <x:c r="Q9" s="22" t="n">
        <x:v>14</x:v>
      </x:c>
      <x:c r="R9" s="22" t="str">
        <x:v>NR</x:v>
      </x:c>
      <x:c r="S9" s="22" t="str">
        <x:v>NR</x:v>
      </x:c>
      <x:c r="T9" s="22" t="str">
        <x:v>Intelligent IoT-multiagent precision irrigation approach for improving water use efficiency in irrigation systems at farm and district scales</x:v>
      </x:c>
    </x:row>
    <x:row r="10">
      <x:c r="A10" s="22" t="str">
        <x:v>S07</x:v>
      </x:c>
      <x:c r="B10" s="22" t="str">
        <x:v>SF07</x:v>
      </x:c>
      <x:c r="C10" s="22" t="n">
        <x:v>2024</x:v>
      </x:c>
      <x:c r="D10" s="22" t="str">
        <x:v>Irrigation / water management</x:v>
      </x:c>
      <x:c r="E10" s="22" t="str">
        <x:v>Operational allocation / control</x:v>
      </x:c>
      <x:c r="F10" s="22" t="str">
        <x:v>Decentralised</x:v>
      </x:c>
      <x:c r="G10" s="22" t="str">
        <x:v>Operational / robot; Specialist / advisory</x:v>
      </x:c>
      <x:c r="H10" s="22" t="str">
        <x:v>Learning-based</x:v>
      </x:c>
      <x:c r="I10" s="22" t="str">
        <x:v>Optimisation / scheduling; Learning / MARL</x:v>
      </x:c>
      <x:c r="J10" s="22" t="str">
        <x:v>Single-domain</x:v>
      </x:c>
      <x:c r="K10" s="22" t="str">
        <x:v>Simulation</x:v>
      </x:c>
      <x:c r="L10" s="22" t="str">
        <x:v>Direct</x:v>
      </x:c>
      <x:c r="M10" s="22" t="str">
        <x:v>Yes</x:v>
      </x:c>
      <x:c r="N10" s="22" t="str">
        <x:v>Favourable (conditional/simulated)</x:v>
      </x:c>
      <x:c r="O10" s="22" t="str">
        <x:v>Algorithmic/method baseline</x:v>
      </x:c>
      <x:c r="P10" s="22" t="str">
        <x:v>No</x:v>
      </x:c>
      <x:c r="Q10" s="22" t="n">
        <x:v>14</x:v>
      </x:c>
      <x:c r="R10" s="22" t="str">
        <x:v>NR</x:v>
      </x:c>
      <x:c r="S10" s="22" t="str">
        <x:v>NR</x:v>
      </x:c>
      <x:c r="T10" s="22" t="str">
        <x:v>Learning-based multi-agent MPC for irrigation scheduling</x:v>
      </x:c>
    </x:row>
    <x:row r="11">
      <x:c r="A11" s="22" t="str">
        <x:v>S08</x:v>
      </x:c>
      <x:c r="B11" s="22" t="str">
        <x:v>SF08</x:v>
      </x:c>
      <x:c r="C11" s="22" t="n">
        <x:v>2025</x:v>
      </x:c>
      <x:c r="D11" s="22" t="str">
        <x:v>Irrigation / water management</x:v>
      </x:c>
      <x:c r="E11" s="22" t="str">
        <x:v>Operational allocation / control</x:v>
      </x:c>
      <x:c r="F11" s="22" t="str">
        <x:v>Hierarchical</x:v>
      </x:c>
      <x:c r="G11" s="22" t="str">
        <x:v>Operational / robot; Manager / regulator; Specialist / advisory</x:v>
      </x:c>
      <x:c r="H11" s="22" t="str">
        <x:v>Learning-based</x:v>
      </x:c>
      <x:c r="I11" s="22" t="str">
        <x:v>Hierarchical / supervisory; Learning / MARL</x:v>
      </x:c>
      <x:c r="J11" s="22" t="str">
        <x:v>Single-domain</x:v>
      </x:c>
      <x:c r="K11" s="22" t="str">
        <x:v>Simulation</x:v>
      </x:c>
      <x:c r="L11" s="22" t="str">
        <x:v>Direct</x:v>
      </x:c>
      <x:c r="M11" s="22" t="str">
        <x:v>Yes</x:v>
      </x:c>
      <x:c r="N11" s="22" t="str">
        <x:v>Favourable (conditional/simulated)</x:v>
      </x:c>
      <x:c r="O11" s="22" t="str">
        <x:v>Algorithmic/method baseline</x:v>
      </x:c>
      <x:c r="P11" s="22" t="str">
        <x:v>No</x:v>
      </x:c>
      <x:c r="Q11" s="22" t="n">
        <x:v>14</x:v>
      </x:c>
      <x:c r="R11" s="22" t="str">
        <x:v>NR</x:v>
      </x:c>
      <x:c r="S11" s="22" t="str">
        <x:v>NR</x:v>
      </x:c>
      <x:c r="T11" s="22" t="str">
        <x:v>A semi-centralized multi-agent RL framework for efficient irrigation scheduling</x:v>
      </x:c>
    </x:row>
    <x:row r="12">
      <x:c r="A12" s="22" t="str">
        <x:v>S09</x:v>
      </x:c>
      <x:c r="B12" s="22" t="str">
        <x:v>SF09</x:v>
      </x:c>
      <x:c r="C12" s="22" t="n">
        <x:v>2024</x:v>
      </x:c>
      <x:c r="D12" s="22" t="str">
        <x:v>Energy / WEF nexus</x:v>
      </x:c>
      <x:c r="E12" s="22" t="str">
        <x:v>Operational allocation / control</x:v>
      </x:c>
      <x:c r="F12" s="22" t="str">
        <x:v>Hybrid</x:v>
      </x:c>
      <x:c r="G12" s="22" t="str">
        <x:v>Farmer / producer; Specialist / advisory</x:v>
      </x:c>
      <x:c r="H12" s="22" t="str">
        <x:v>Learning-based</x:v>
      </x:c>
      <x:c r="I12" s="22" t="str">
        <x:v>Learning / MARL</x:v>
      </x:c>
      <x:c r="J12" s="22" t="str">
        <x:v>Single-domain</x:v>
      </x:c>
      <x:c r="K12" s="22" t="str">
        <x:v>Simulation</x:v>
      </x:c>
      <x:c r="L12" s="22" t="str">
        <x:v>Direct</x:v>
      </x:c>
      <x:c r="M12" s="22" t="str">
        <x:v>Yes</x:v>
      </x:c>
      <x:c r="N12" s="22" t="str">
        <x:v>Favourable (conditional/simulated)</x:v>
      </x:c>
      <x:c r="O12" s="22" t="str">
        <x:v>Algorithmic/method baseline</x:v>
      </x:c>
      <x:c r="P12" s="22" t="str">
        <x:v>No</x:v>
      </x:c>
      <x:c r="Q12" s="22" t="n">
        <x:v>13</x:v>
      </x:c>
      <x:c r="R12" s="22" t="str">
        <x:v>NR</x:v>
      </x:c>
      <x:c r="S12" s="22" t="str">
        <x:v>Yes</x:v>
      </x:c>
      <x:c r="T12" s="22" t="str">
        <x:v>Energy management for demand response in networked greenhouses with multi-agent deep reinforcement learning</x:v>
      </x:c>
    </x:row>
    <x:row r="13">
      <x:c r="A13" s="22" t="str">
        <x:v>S10</x:v>
      </x:c>
      <x:c r="B13" s="22" t="str">
        <x:v>SF10</x:v>
      </x:c>
      <x:c r="C13" s="22" t="n">
        <x:v>2011</x:v>
      </x:c>
      <x:c r="D13" s="22" t="str">
        <x:v>Livestock / integrated farming</x:v>
      </x:c>
      <x:c r="E13" s="22" t="str">
        <x:v>Policy / socio-ecological assessment</x:v>
      </x:c>
      <x:c r="F13" s="22" t="str">
        <x:v>Distributed</x:v>
      </x:c>
      <x:c r="G13" s="22" t="str">
        <x:v>Farmer / producer; Biophysical representation</x:v>
      </x:c>
      <x:c r="H13" s="22" t="str">
        <x:v>Rule-based</x:v>
      </x:c>
      <x:c r="I13" s="22" t="str">
        <x:v>Environment / shared-resource mediated</x:v>
      </x:c>
      <x:c r="J13" s="22" t="str">
        <x:v>Integrated-system</x:v>
      </x:c>
      <x:c r="K13" s="22" t="str">
        <x:v>Simulation</x:v>
      </x:c>
      <x:c r="L13" s="22" t="str">
        <x:v>Direct</x:v>
      </x:c>
      <x:c r="M13" s="22" t="str">
        <x:v>Yes</x:v>
      </x:c>
      <x:c r="N13" s="22" t="str">
        <x:v>Mixed / trade-off / scenario-dependent</x:v>
      </x:c>
      <x:c r="O13" s="22" t="str">
        <x:v>Observed-data calibration/validation; Scenario/policy/reference comparison</x:v>
      </x:c>
      <x:c r="P13" s="22" t="str">
        <x:v>No</x:v>
      </x:c>
      <x:c r="Q13" s="22" t="n">
        <x:v>13</x:v>
      </x:c>
      <x:c r="R13" s="22" t="str">
        <x:v>NR</x:v>
      </x:c>
      <x:c r="S13" s="22" t="str">
        <x:v>NR</x:v>
      </x:c>
      <x:c r="T13" s="22" t="str">
        <x:v>CaTMAS: A multi-agent model for simulating the dynamics of carbon resources of West African villages</x:v>
      </x:c>
    </x:row>
    <x:row r="14">
      <x:c r="A14" s="22" t="str">
        <x:v>S11</x:v>
      </x:c>
      <x:c r="B14" s="22" t="str">
        <x:v>SF05</x:v>
      </x:c>
      <x:c r="C14" s="22" t="n">
        <x:v>2026</x:v>
      </x:c>
      <x:c r="D14" s="22" t="str">
        <x:v>Energy / WEF nexus</x:v>
      </x:c>
      <x:c r="E14" s="22" t="str">
        <x:v>Trading / collective governance</x:v>
      </x:c>
      <x:c r="F14" s="22" t="str">
        <x:v>Hybrid</x:v>
      </x:c>
      <x:c r="G14" s="22" t="str">
        <x:v>Farmer / producer; Market / trader</x:v>
      </x:c>
      <x:c r="H14" s="22" t="str">
        <x:v>Learning-based</x:v>
      </x:c>
      <x:c r="I14" s="22" t="str">
        <x:v>Auction / market; Hierarchical / supervisory; Learning / MARL</x:v>
      </x:c>
      <x:c r="J14" s="22" t="str">
        <x:v>Single-domain</x:v>
      </x:c>
      <x:c r="K14" s="22" t="str">
        <x:v>Simulation</x:v>
      </x:c>
      <x:c r="L14" s="22" t="str">
        <x:v>Direct</x:v>
      </x:c>
      <x:c r="M14" s="22" t="str">
        <x:v>Yes</x:v>
      </x:c>
      <x:c r="N14" s="22" t="str">
        <x:v>Favourable (conditional/simulated)</x:v>
      </x:c>
      <x:c r="O14" s="22" t="str">
        <x:v>Algorithmic/method baseline</x:v>
      </x:c>
      <x:c r="P14" s="22" t="str">
        <x:v>No</x:v>
      </x:c>
      <x:c r="Q14" s="22" t="n">
        <x:v>14</x:v>
      </x:c>
      <x:c r="R14" s="22" t="str">
        <x:v>NR</x:v>
      </x:c>
      <x:c r="S14" s="22" t="str">
        <x:v>NR</x:v>
      </x:c>
      <x:c r="T14" s="22" t="str">
        <x:v>Peer-to-peer energy trading in dairy farms using multi-agent reinforcement learning</x:v>
      </x:c>
    </x:row>
    <x:row r="15">
      <x:c r="A15" s="22" t="str">
        <x:v>S12</x:v>
      </x:c>
      <x:c r="B15" s="22" t="str">
        <x:v>SF12</x:v>
      </x:c>
      <x:c r="C15" s="22" t="n">
        <x:v>2023</x:v>
      </x:c>
      <x:c r="D15" s="22" t="str">
        <x:v>Soil / nutrient / environmental management</x:v>
      </x:c>
      <x:c r="E15" s="22" t="str">
        <x:v>Policy / socio-ecological assessment</x:v>
      </x:c>
      <x:c r="F15" s="22" t="str">
        <x:v>Decentralised</x:v>
      </x:c>
      <x:c r="G15" s="22" t="str">
        <x:v>Farmer / producer; Biophysical representation</x:v>
      </x:c>
      <x:c r="H15" s="22" t="str">
        <x:v>Rule-based; Other</x:v>
      </x:c>
      <x:c r="I15" s="22" t="str">
        <x:v>Environment / shared-resource mediated; Peer diffusion / exchange</x:v>
      </x:c>
      <x:c r="J15" s="22" t="str">
        <x:v>Integrated-system</x:v>
      </x:c>
      <x:c r="K15" s="22" t="str">
        <x:v>Simulation</x:v>
      </x:c>
      <x:c r="L15" s="22" t="str">
        <x:v>Direct</x:v>
      </x:c>
      <x:c r="M15" s="22" t="str">
        <x:v>Yes</x:v>
      </x:c>
      <x:c r="N15" s="22" t="str">
        <x:v>Mixed / trade-off / scenario-dependent</x:v>
      </x:c>
      <x:c r="O15" s="22" t="str">
        <x:v>Observed-data calibration/validation; Scenario/policy/reference comparison</x:v>
      </x:c>
      <x:c r="P15" s="22" t="str">
        <x:v>No</x:v>
      </x:c>
      <x:c r="Q15" s="22" t="n">
        <x:v>13</x:v>
      </x:c>
      <x:c r="R15" s="22" t="str">
        <x:v>Yes</x:v>
      </x:c>
      <x:c r="S15" s="22" t="str">
        <x:v>Yes</x:v>
      </x:c>
      <x:c r="T15" s="22" t="str">
        <x:v>MASSAI: Multi-agent system for simulating sustainable agricultural intensification of smallholder farms in Africa</x:v>
      </x:c>
    </x:row>
    <x:row r="16">
      <x:c r="A16" s="22" t="str">
        <x:v>S13</x:v>
      </x:c>
      <x:c r="B16" s="22" t="str">
        <x:v>SF13</x:v>
      </x:c>
      <x:c r="C16" s="22" t="n">
        <x:v>2014</x:v>
      </x:c>
      <x:c r="D16" s="22" t="str">
        <x:v>Irrigation / water management</x:v>
      </x:c>
      <x:c r="E16" s="22" t="str">
        <x:v>Policy / socio-ecological assessment</x:v>
      </x:c>
      <x:c r="F16" s="22" t="str">
        <x:v>Hierarchical</x:v>
      </x:c>
      <x:c r="G16" s="22" t="str">
        <x:v>Farmer / producer; Manager / regulator; Biophysical representation</x:v>
      </x:c>
      <x:c r="H16" s="22" t="str">
        <x:v>BDI; Rule-based</x:v>
      </x:c>
      <x:c r="I16" s="22" t="str">
        <x:v>Environment / shared-resource mediated; Hierarchical / supervisory</x:v>
      </x:c>
      <x:c r="J16" s="22" t="str">
        <x:v>Integrated-system</x:v>
      </x:c>
      <x:c r="K16" s="22" t="str">
        <x:v>Simulation</x:v>
      </x:c>
      <x:c r="L16" s="22" t="str">
        <x:v>Direct</x:v>
      </x:c>
      <x:c r="M16" s="22" t="str">
        <x:v>Yes</x:v>
      </x:c>
      <x:c r="N16" s="22" t="str">
        <x:v>Descriptive / feasibility / no directional conclusion</x:v>
      </x:c>
      <x:c r="O16" s="22" t="str">
        <x:v>None explicit / NR</x:v>
      </x:c>
      <x:c r="P16" s="22" t="str">
        <x:v>No</x:v>
      </x:c>
      <x:c r="Q16" s="22" t="n">
        <x:v>12</x:v>
      </x:c>
      <x:c r="R16" s="22" t="str">
        <x:v>NR</x:v>
      </x:c>
      <x:c r="S16" s="22" t="str">
        <x:v>NR</x:v>
      </x:c>
      <x:c r="T16" s="22" t="str">
        <x:v>Integrated modelling of social-ecological systems: The MAELIA high-resolution multi-agent platform to deal with water scarcity problems</x:v>
      </x:c>
    </x:row>
    <x:row r="17">
      <x:c r="A17" s="22" t="str">
        <x:v>S14</x:v>
      </x:c>
      <x:c r="B17" s="22" t="str">
        <x:v>SF14</x:v>
      </x:c>
      <x:c r="C17" s="22" t="n">
        <x:v>2019</x:v>
      </x:c>
      <x:c r="D17" s="22" t="str">
        <x:v>Livestock / integrated farming</x:v>
      </x:c>
      <x:c r="E17" s="22" t="str">
        <x:v>Trading / collective governance</x:v>
      </x:c>
      <x:c r="F17" s="22" t="str">
        <x:v>Decentralised</x:v>
      </x:c>
      <x:c r="G17" s="22" t="str">
        <x:v>Farmer / producer</x:v>
      </x:c>
      <x:c r="H17" s="22" t="str">
        <x:v>Rule-based</x:v>
      </x:c>
      <x:c r="I17" s="22" t="str">
        <x:v>Peer diffusion / exchange; Environment / shared-resource mediated</x:v>
      </x:c>
      <x:c r="J17" s="22" t="str">
        <x:v>Integrated-system</x:v>
      </x:c>
      <x:c r="K17" s="22" t="str">
        <x:v>Simulation</x:v>
      </x:c>
      <x:c r="L17" s="22" t="str">
        <x:v>Indirect</x:v>
      </x:c>
      <x:c r="M17" s="22" t="str">
        <x:v>Yes</x:v>
      </x:c>
      <x:c r="N17" s="22" t="str">
        <x:v>Descriptive / feasibility / no directional conclusion</x:v>
      </x:c>
      <x:c r="O17" s="22" t="str">
        <x:v>None explicit / NR</x:v>
      </x:c>
      <x:c r="P17" s="22" t="str">
        <x:v>No</x:v>
      </x:c>
      <x:c r="Q17" s="22" t="n">
        <x:v>8</x:v>
      </x:c>
      <x:c r="R17" s="22" t="str">
        <x:v>NR</x:v>
      </x:c>
      <x:c r="S17" s="22" t="str">
        <x:v>NR</x:v>
      </x:c>
      <x:c r="T17" s="22" t="str">
        <x:v>Network-aware multi-agent simulations of herder-farmer conflicts</x:v>
      </x:c>
    </x:row>
    <x:row r="18">
      <x:c r="A18" s="22" t="str">
        <x:v>S15</x:v>
      </x:c>
      <x:c r="B18" s="22" t="str">
        <x:v>SF15</x:v>
      </x:c>
      <x:c r="C18" s="22" t="n">
        <x:v>2017</x:v>
      </x:c>
      <x:c r="D18" s="22" t="str">
        <x:v>Livestock / integrated farming</x:v>
      </x:c>
      <x:c r="E18" s="22" t="str">
        <x:v>Decision support / monitoring</x:v>
      </x:c>
      <x:c r="F18" s="22" t="str">
        <x:v>Centralised</x:v>
      </x:c>
      <x:c r="G18" s="22" t="str">
        <x:v>Specialist / advisory; Manager / regulator; Biophysical representation</x:v>
      </x:c>
      <x:c r="H18" s="22" t="str">
        <x:v>Reactive; Rule-based</x:v>
      </x:c>
      <x:c r="I18" s="22" t="str">
        <x:v>Hierarchical / supervisory</x:v>
      </x:c>
      <x:c r="J18" s="22" t="str">
        <x:v>Integrated-system</x:v>
      </x:c>
      <x:c r="K18" s="22" t="str">
        <x:v>Prototype</x:v>
      </x:c>
      <x:c r="L18" s="22" t="str">
        <x:v>Not addressed</x:v>
      </x:c>
      <x:c r="M18" s="22" t="str">
        <x:v>No</x:v>
      </x:c>
      <x:c r="N18" s="22" t="str">
        <x:v>Descriptive / feasibility / no directional conclusion</x:v>
      </x:c>
      <x:c r="O18" s="22" t="str">
        <x:v>None explicit / NR</x:v>
      </x:c>
      <x:c r="P18" s="22" t="str">
        <x:v>No</x:v>
      </x:c>
      <x:c r="Q18" s="22" t="n">
        <x:v>10</x:v>
      </x:c>
      <x:c r="R18" s="22" t="str">
        <x:v>NR</x:v>
      </x:c>
      <x:c r="S18" s="22" t="str">
        <x:v>NR</x:v>
      </x:c>
      <x:c r="T18" s="22" t="str">
        <x:v>Modelling a multi agent system for dairy farms for integrated decision making</x:v>
      </x:c>
    </x:row>
    <x:row r="19">
      <x:c r="A19" s="22" t="str">
        <x:v>S16</x:v>
      </x:c>
      <x:c r="B19" s="22" t="str">
        <x:v>SF16</x:v>
      </x:c>
      <x:c r="C19" s="22" t="n">
        <x:v>2023</x:v>
      </x:c>
      <x:c r="D19" s="22" t="str">
        <x:v>Irrigation / water management</x:v>
      </x:c>
      <x:c r="E19" s="22" t="str">
        <x:v>Trading / collective governance</x:v>
      </x:c>
      <x:c r="F19" s="22" t="str">
        <x:v>Decentralised</x:v>
      </x:c>
      <x:c r="G19" s="22" t="str">
        <x:v>Farmer / producer; Market / trader</x:v>
      </x:c>
      <x:c r="H19" s="22" t="str">
        <x:v>Utility / economic; Rule-based</x:v>
      </x:c>
      <x:c r="I19" s="22" t="str">
        <x:v>Auction / market; Direct negotiation / agreements</x:v>
      </x:c>
      <x:c r="J19" s="22" t="str">
        <x:v>Single-domain</x:v>
      </x:c>
      <x:c r="K19" s="22" t="str">
        <x:v>Simulation</x:v>
      </x:c>
      <x:c r="L19" s="22" t="str">
        <x:v>Direct</x:v>
      </x:c>
      <x:c r="M19" s="22" t="str">
        <x:v>Yes</x:v>
      </x:c>
      <x:c r="N19" s="22" t="str">
        <x:v>Mixed / trade-off / scenario-dependent</x:v>
      </x:c>
      <x:c r="O19" s="22" t="str">
        <x:v>Scenario/policy/reference comparison</x:v>
      </x:c>
      <x:c r="P19" s="22" t="str">
        <x:v>No</x:v>
      </x:c>
      <x:c r="Q19" s="22" t="n">
        <x:v>13</x:v>
      </x:c>
      <x:c r="R19" s="22" t="str">
        <x:v>NR</x:v>
      </x:c>
      <x:c r="S19" s="22" t="str">
        <x:v>NR</x:v>
      </x:c>
      <x:c r="T19" s="22" t="str">
        <x:v>Water distribution in community irrigation using a multi-agent system</x:v>
      </x:c>
    </x:row>
    <x:row r="20">
      <x:c r="A20" s="22" t="str">
        <x:v>S17</x:v>
      </x:c>
      <x:c r="B20" s="22" t="str">
        <x:v>SF17</x:v>
      </x:c>
      <x:c r="C20" s="22" t="n">
        <x:v>2026</x:v>
      </x:c>
      <x:c r="D20" s="22" t="str">
        <x:v>Crop / farm management</x:v>
      </x:c>
      <x:c r="E20" s="22" t="str">
        <x:v>Policy / socio-ecological assessment</x:v>
      </x:c>
      <x:c r="F20" s="22" t="str">
        <x:v>Hierarchical</x:v>
      </x:c>
      <x:c r="G20" s="22" t="str">
        <x:v>Specialist / advisory; Manager / regulator</x:v>
      </x:c>
      <x:c r="H20" s="22" t="str">
        <x:v>Reactive; Rule-based</x:v>
      </x:c>
      <x:c r="I20" s="22" t="str">
        <x:v>Hierarchical / supervisory</x:v>
      </x:c>
      <x:c r="J20" s="22" t="str">
        <x:v>Integrated-system</x:v>
      </x:c>
      <x:c r="K20" s="22" t="str">
        <x:v>Simulation</x:v>
      </x:c>
      <x:c r="L20" s="22" t="str">
        <x:v>Direct</x:v>
      </x:c>
      <x:c r="M20" s="22" t="str">
        <x:v>NA</x:v>
      </x:c>
      <x:c r="N20" s="22" t="str">
        <x:v>Mixed / trade-off / scenario-dependent</x:v>
      </x:c>
      <x:c r="O20" s="22" t="str">
        <x:v>Scenario/policy/reference comparison</x:v>
      </x:c>
      <x:c r="P20" s="22" t="str">
        <x:v>No</x:v>
      </x:c>
      <x:c r="Q20" s="22" t="n">
        <x:v>12</x:v>
      </x:c>
      <x:c r="R20" s="22" t="str">
        <x:v>NR</x:v>
      </x:c>
      <x:c r="S20" s="22" t="str">
        <x:v>NR</x:v>
      </x:c>
      <x:c r="T20" s="22" t="str">
        <x:v>Assessment of agricultural vulnerability and risk to climate change in sugarcane production through life cycle analysis and a multi-agent system</x:v>
      </x:c>
    </x:row>
    <x:row r="21">
      <x:c r="A21" s="22" t="str">
        <x:v>S18</x:v>
      </x:c>
      <x:c r="B21" s="22" t="str">
        <x:v>SF18</x:v>
      </x:c>
      <x:c r="C21" s="22" t="n">
        <x:v>2026</x:v>
      </x:c>
      <x:c r="D21" s="22" t="str">
        <x:v>Crop / farm management</x:v>
      </x:c>
      <x:c r="E21" s="22" t="str">
        <x:v>Operational allocation / control</x:v>
      </x:c>
      <x:c r="F21" s="22" t="str">
        <x:v>Hybrid</x:v>
      </x:c>
      <x:c r="G21" s="22" t="str">
        <x:v>Specialist / advisory; Operational / robot</x:v>
      </x:c>
      <x:c r="H21" s="22" t="str">
        <x:v>Learning-based</x:v>
      </x:c>
      <x:c r="I21" s="22" t="str">
        <x:v>Learning / MARL; Hierarchical / supervisory</x:v>
      </x:c>
      <x:c r="J21" s="22" t="str">
        <x:v>Multi-domain</x:v>
      </x:c>
      <x:c r="K21" s="22" t="str">
        <x:v>Simulation</x:v>
      </x:c>
      <x:c r="L21" s="22" t="str">
        <x:v>Direct</x:v>
      </x:c>
      <x:c r="M21" s="22" t="str">
        <x:v>Yes</x:v>
      </x:c>
      <x:c r="N21" s="22" t="str">
        <x:v>Favourable (conditional/simulated)</x:v>
      </x:c>
      <x:c r="O21" s="22" t="str">
        <x:v>Algorithmic/method baseline</x:v>
      </x:c>
      <x:c r="P21" s="22" t="str">
        <x:v>No</x:v>
      </x:c>
      <x:c r="Q21" s="22" t="n">
        <x:v>11</x:v>
      </x:c>
      <x:c r="R21" s="22" t="str">
        <x:v>NR</x:v>
      </x:c>
      <x:c r="S21" s="22" t="str">
        <x:v>NR</x:v>
      </x:c>
      <x:c r="T21" s="22" t="str">
        <x:v>Quantum Machine Learning-Enhanced Multiagent Reinforcement Learning for Intelligent Crop Resource Allocation in IoT-Enabled Smart Agriculture</x:v>
      </x:c>
    </x:row>
    <x:row r="22">
      <x:c r="A22" s="22" t="str">
        <x:v>S19</x:v>
      </x:c>
      <x:c r="B22" s="22" t="str">
        <x:v>SF19</x:v>
      </x:c>
      <x:c r="C22" s="22" t="n">
        <x:v>2024</x:v>
      </x:c>
      <x:c r="D22" s="22" t="str">
        <x:v>Workforce / robotics / task allocation</x:v>
      </x:c>
      <x:c r="E22" s="22" t="str">
        <x:v>Operational allocation / control</x:v>
      </x:c>
      <x:c r="F22" s="22" t="str">
        <x:v>Centralised</x:v>
      </x:c>
      <x:c r="G22" s="22" t="str">
        <x:v>Operational / robot; Manager / regulator</x:v>
      </x:c>
      <x:c r="H22" s="22" t="str">
        <x:v>NR</x:v>
      </x:c>
      <x:c r="I22" s="22" t="str">
        <x:v>Optimisation / scheduling; Hierarchical / supervisory</x:v>
      </x:c>
      <x:c r="J22" s="22" t="str">
        <x:v>Single-domain</x:v>
      </x:c>
      <x:c r="K22" s="22" t="str">
        <x:v>Controlled experiment</x:v>
      </x:c>
      <x:c r="L22" s="22" t="str">
        <x:v>Indirect</x:v>
      </x:c>
      <x:c r="M22" s="22" t="str">
        <x:v>Yes</x:v>
      </x:c>
      <x:c r="N22" s="22" t="str">
        <x:v>Favourable (conditional/simulated)</x:v>
      </x:c>
      <x:c r="O22" s="22" t="str">
        <x:v>Algorithmic/method baseline</x:v>
      </x:c>
      <x:c r="P22" s="22" t="str">
        <x:v>No</x:v>
      </x:c>
      <x:c r="Q22" s="22" t="n">
        <x:v>13</x:v>
      </x:c>
      <x:c r="R22" s="22" t="str">
        <x:v>NR</x:v>
      </x:c>
      <x:c r="S22" s="22" t="str">
        <x:v>NR</x:v>
      </x:c>
      <x:c r="T22" s="22" t="str">
        <x:v>Modification of the Ant Colony Optimization Algorithm for Solving Multi-Agent Task Allocation Problem in Agricultural Application</x:v>
      </x:c>
    </x:row>
    <x:row r="23">
      <x:c r="A23" s="22" t="str">
        <x:v>S20</x:v>
      </x:c>
      <x:c r="B23" s="22" t="str">
        <x:v>SF16</x:v>
      </x:c>
      <x:c r="C23" s="22" t="n">
        <x:v>2020</x:v>
      </x:c>
      <x:c r="D23" s="22" t="str">
        <x:v>Irrigation / water management</x:v>
      </x:c>
      <x:c r="E23" s="22" t="str">
        <x:v>Trading / collective governance</x:v>
      </x:c>
      <x:c r="F23" s="22" t="str">
        <x:v>Decentralised</x:v>
      </x:c>
      <x:c r="G23" s="22" t="str">
        <x:v>Farmer / producer; Market / trader</x:v>
      </x:c>
      <x:c r="H23" s="22" t="str">
        <x:v>Utility / economic; Rule-based</x:v>
      </x:c>
      <x:c r="I23" s="22" t="str">
        <x:v>Auction / market; Direct negotiation / agreements</x:v>
      </x:c>
      <x:c r="J23" s="22" t="str">
        <x:v>Single-domain</x:v>
      </x:c>
      <x:c r="K23" s="22" t="str">
        <x:v>Simulation</x:v>
      </x:c>
      <x:c r="L23" s="22" t="str">
        <x:v>Direct</x:v>
      </x:c>
      <x:c r="M23" s="22" t="str">
        <x:v>Yes</x:v>
      </x:c>
      <x:c r="N23" s="22" t="str">
        <x:v>Favourable (conditional/simulated)</x:v>
      </x:c>
      <x:c r="O23" s="22" t="str">
        <x:v>Operational/heuristic counterfactual; Scenario/policy/reference comparison</x:v>
      </x:c>
      <x:c r="P23" s="22" t="str">
        <x:v>No</x:v>
      </x:c>
      <x:c r="Q23" s="22" t="n">
        <x:v>13</x:v>
      </x:c>
      <x:c r="R23" s="22" t="str">
        <x:v>NR</x:v>
      </x:c>
      <x:c r="S23" s="22" t="str">
        <x:v>NR</x:v>
      </x:c>
      <x:c r="T23" s="22" t="str">
        <x:v>Improving Water Allocation Using Multi-agent Negotiation Mechanisms</x:v>
      </x:c>
    </x:row>
    <x:row r="24">
      <x:c r="A24" s="22" t="str">
        <x:v>S21</x:v>
      </x:c>
      <x:c r="B24" s="22" t="str">
        <x:v>SF21</x:v>
      </x:c>
      <x:c r="C24" s="22" t="n">
        <x:v>2026</x:v>
      </x:c>
      <x:c r="D24" s="22" t="str">
        <x:v>Irrigation / water management</x:v>
      </x:c>
      <x:c r="E24" s="22" t="str">
        <x:v>Operational allocation / control</x:v>
      </x:c>
      <x:c r="F24" s="22" t="str">
        <x:v>Hybrid</x:v>
      </x:c>
      <x:c r="G24" s="22" t="str">
        <x:v>Operational / robot; Manager / regulator</x:v>
      </x:c>
      <x:c r="H24" s="22" t="str">
        <x:v>Learning-based</x:v>
      </x:c>
      <x:c r="I24" s="22" t="str">
        <x:v>Peer diffusion / exchange; Learning / MARL</x:v>
      </x:c>
      <x:c r="J24" s="22" t="str">
        <x:v>Multi-domain</x:v>
      </x:c>
      <x:c r="K24" s="22" t="str">
        <x:v>Simulation</x:v>
      </x:c>
      <x:c r="L24" s="22" t="str">
        <x:v>Direct</x:v>
      </x:c>
      <x:c r="M24" s="22" t="str">
        <x:v>Yes</x:v>
      </x:c>
      <x:c r="N24" s="22" t="str">
        <x:v>Favourable (conditional/simulated)</x:v>
      </x:c>
      <x:c r="O24" s="22" t="str">
        <x:v>Algorithmic/method baseline</x:v>
      </x:c>
      <x:c r="P24" s="22" t="str">
        <x:v>No</x:v>
      </x:c>
      <x:c r="Q24" s="22" t="n">
        <x:v>14</x:v>
      </x:c>
      <x:c r="R24" s="22" t="str">
        <x:v>NR</x:v>
      </x:c>
      <x:c r="S24" s="22" t="str">
        <x:v>Yes</x:v>
      </x:c>
      <x:c r="T24" s="22" t="str">
        <x:v>AI-driven multi-agent framework for smart irrigation and crop health monitoring in Indian rice and sugarcane farming</x:v>
      </x:c>
    </x:row>
    <x:row r="25">
      <x:c r="A25" s="22" t="str">
        <x:v>S22</x:v>
      </x:c>
      <x:c r="B25" s="22" t="str">
        <x:v>SF13</x:v>
      </x:c>
      <x:c r="C25" s="22" t="n">
        <x:v>2014</x:v>
      </x:c>
      <x:c r="D25" s="22" t="str">
        <x:v>Irrigation / water management</x:v>
      </x:c>
      <x:c r="E25" s="22" t="str">
        <x:v>Policy / socio-ecological assessment</x:v>
      </x:c>
      <x:c r="F25" s="22" t="str">
        <x:v>Hierarchical</x:v>
      </x:c>
      <x:c r="G25" s="22" t="str">
        <x:v>Farmer / producer; Manager / regulator; Biophysical representation</x:v>
      </x:c>
      <x:c r="H25" s="22" t="str">
        <x:v>BDI; Rule-based</x:v>
      </x:c>
      <x:c r="I25" s="22" t="str">
        <x:v>Environment / shared-resource mediated; Hierarchical / supervisory</x:v>
      </x:c>
      <x:c r="J25" s="22" t="str">
        <x:v>Integrated-system</x:v>
      </x:c>
      <x:c r="K25" s="22" t="str">
        <x:v>Simulation</x:v>
      </x:c>
      <x:c r="L25" s="22" t="str">
        <x:v>Direct</x:v>
      </x:c>
      <x:c r="M25" s="22" t="str">
        <x:v>Yes</x:v>
      </x:c>
      <x:c r="N25" s="22" t="str">
        <x:v>Descriptive / feasibility / no directional conclusion</x:v>
      </x:c>
      <x:c r="O25" s="22" t="str">
        <x:v>Scenario/policy/reference comparison</x:v>
      </x:c>
      <x:c r="P25" s="22" t="str">
        <x:v>No</x:v>
      </x:c>
      <x:c r="Q25" s="22" t="n">
        <x:v>12</x:v>
      </x:c>
      <x:c r="R25" s="22" t="str">
        <x:v>NR</x:v>
      </x:c>
      <x:c r="S25" s="22" t="str">
        <x:v>NR</x:v>
      </x:c>
      <x:c r="T25" s="22" t="str">
        <x:v>The MAELIA Multi-agent platform for integrated analysis of interactions between agricultural land-use and low-water management strategies</x:v>
      </x:c>
    </x:row>
    <x:row r="26">
      <x:c r="A26" s="22" t="str">
        <x:v>S23</x:v>
      </x:c>
      <x:c r="B26" s="22" t="str">
        <x:v>SF08</x:v>
      </x:c>
      <x:c r="C26" s="22" t="n">
        <x:v>2024</x:v>
      </x:c>
      <x:c r="D26" s="22" t="str">
        <x:v>Irrigation / water management</x:v>
      </x:c>
      <x:c r="E26" s="22" t="str">
        <x:v>Operational allocation / control</x:v>
      </x:c>
      <x:c r="F26" s="22" t="str">
        <x:v>Hierarchical</x:v>
      </x:c>
      <x:c r="G26" s="22" t="str">
        <x:v>Operational / robot; Manager / regulator</x:v>
      </x:c>
      <x:c r="H26" s="22" t="str">
        <x:v>Learning-based</x:v>
      </x:c>
      <x:c r="I26" s="22" t="str">
        <x:v>Hierarchical / supervisory; Learning / MARL</x:v>
      </x:c>
      <x:c r="J26" s="22" t="str">
        <x:v>Single-domain</x:v>
      </x:c>
      <x:c r="K26" s="22" t="str">
        <x:v>Simulation</x:v>
      </x:c>
      <x:c r="L26" s="22" t="str">
        <x:v>Direct</x:v>
      </x:c>
      <x:c r="M26" s="22" t="str">
        <x:v>Yes</x:v>
      </x:c>
      <x:c r="N26" s="22" t="str">
        <x:v>Favourable (conditional/simulated)</x:v>
      </x:c>
      <x:c r="O26" s="22" t="str">
        <x:v>Algorithmic/method baseline</x:v>
      </x:c>
      <x:c r="P26" s="22" t="str">
        <x:v>No</x:v>
      </x:c>
      <x:c r="Q26" s="22" t="n">
        <x:v>13</x:v>
      </x:c>
      <x:c r="R26" s="22" t="str">
        <x:v>NR</x:v>
      </x:c>
      <x:c r="S26" s="22" t="str">
        <x:v>NR</x:v>
      </x:c>
      <x:c r="T26" s="22" t="str">
        <x:v>Semi-centralized Multi-agent RL for Irrigation Scheduling</x:v>
      </x:c>
    </x:row>
    <x:row r="27">
      <x:c r="A27" s="22" t="str">
        <x:v>S24</x:v>
      </x:c>
      <x:c r="B27" s="22" t="str">
        <x:v>SF24</x:v>
      </x:c>
      <x:c r="C27" s="22" t="n">
        <x:v>2019</x:v>
      </x:c>
      <x:c r="D27" s="22" t="str">
        <x:v>Irrigation / water management</x:v>
      </x:c>
      <x:c r="E27" s="22" t="str">
        <x:v>Operational allocation / control</x:v>
      </x:c>
      <x:c r="F27" s="22" t="str">
        <x:v>Centralised</x:v>
      </x:c>
      <x:c r="G27" s="22" t="str">
        <x:v>Specialist / advisory; Operational / robot</x:v>
      </x:c>
      <x:c r="H27" s="22" t="str">
        <x:v>Rule-based; Learning-based; Case-based reasoning</x:v>
      </x:c>
      <x:c r="I27" s="22" t="str">
        <x:v>Hierarchical / supervisory</x:v>
      </x:c>
      <x:c r="J27" s="22" t="str">
        <x:v>Single-domain</x:v>
      </x:c>
      <x:c r="K27" s="22" t="str">
        <x:v>Simulation</x:v>
      </x:c>
      <x:c r="L27" s="22" t="str">
        <x:v>Direct</x:v>
      </x:c>
      <x:c r="M27" s="22" t="str">
        <x:v>Yes</x:v>
      </x:c>
      <x:c r="N27" s="22" t="str">
        <x:v>Favourable (conditional/simulated)</x:v>
      </x:c>
      <x:c r="O27" s="22" t="str">
        <x:v>Operational/heuristic counterfactual</x:v>
      </x:c>
      <x:c r="P27" s="22" t="str">
        <x:v>No</x:v>
      </x:c>
      <x:c r="Q27" s="22" t="n">
        <x:v>12</x:v>
      </x:c>
      <x:c r="R27" s="22" t="str">
        <x:v>NR</x:v>
      </x:c>
      <x:c r="S27" s="22" t="str">
        <x:v>NR</x:v>
      </x:c>
      <x:c r="T27" s="22" t="str">
        <x:v>Intelligent multi-agent system for water reduction in automotive irrigation processes</x:v>
      </x:c>
    </x:row>
    <x:row r="28">
      <x:c r="A28" s="22" t="str">
        <x:v>S25</x:v>
      </x:c>
      <x:c r="B28" s="22" t="str">
        <x:v>SF25</x:v>
      </x:c>
      <x:c r="C28" s="22" t="n">
        <x:v>2023</x:v>
      </x:c>
      <x:c r="D28" s="22" t="str">
        <x:v>Workforce / robotics / task allocation</x:v>
      </x:c>
      <x:c r="E28" s="22" t="str">
        <x:v>Operational allocation / control</x:v>
      </x:c>
      <x:c r="F28" s="22" t="str">
        <x:v>Centralised</x:v>
      </x:c>
      <x:c r="G28" s="22" t="str">
        <x:v>Operational / robot; Manager / regulator</x:v>
      </x:c>
      <x:c r="H28" s="22" t="str">
        <x:v>Utility / economic; Rule-based</x:v>
      </x:c>
      <x:c r="I28" s="22" t="str">
        <x:v>Optimisation / scheduling; Auction / market</x:v>
      </x:c>
      <x:c r="J28" s="22" t="str">
        <x:v>Single-domain</x:v>
      </x:c>
      <x:c r="K28" s="22" t="str">
        <x:v>Simulation</x:v>
      </x:c>
      <x:c r="L28" s="22" t="str">
        <x:v>Indirect</x:v>
      </x:c>
      <x:c r="M28" s="22" t="str">
        <x:v>Yes</x:v>
      </x:c>
      <x:c r="N28" s="22" t="str">
        <x:v>Mixed / trade-off / scenario-dependent</x:v>
      </x:c>
      <x:c r="O28" s="22" t="str">
        <x:v>Historical/real-practice comparison</x:v>
      </x:c>
      <x:c r="P28" s="22" t="str">
        <x:v>No</x:v>
      </x:c>
      <x:c r="Q28" s="22" t="n">
        <x:v>14</x:v>
      </x:c>
      <x:c r="R28" s="22" t="str">
        <x:v>NR</x:v>
      </x:c>
      <x:c r="S28" s="22" t="str">
        <x:v>NR</x:v>
      </x:c>
      <x:c r="T28" s="22" t="str">
        <x:v>Challenges for Multi-Agent Based Agricultural Workforce Management</x:v>
      </x:c>
    </x:row>
    <x:row r="29">
      <x:c r="A29" s="22" t="str">
        <x:v>S26</x:v>
      </x:c>
      <x:c r="B29" s="22" t="str">
        <x:v>SF26</x:v>
      </x:c>
      <x:c r="C29" s="22" t="n">
        <x:v>2021</x:v>
      </x:c>
      <x:c r="D29" s="22" t="str">
        <x:v>Irrigation / water management</x:v>
      </x:c>
      <x:c r="E29" s="22" t="str">
        <x:v>Policy / socio-ecological assessment</x:v>
      </x:c>
      <x:c r="F29" s="22" t="str">
        <x:v>Hybrid</x:v>
      </x:c>
      <x:c r="G29" s="22" t="str">
        <x:v>Farmer / producer; Biophysical representation</x:v>
      </x:c>
      <x:c r="H29" s="22" t="str">
        <x:v>Learning-based</x:v>
      </x:c>
      <x:c r="I29" s="22" t="str">
        <x:v>Environment / shared-resource mediated; Learning / MARL</x:v>
      </x:c>
      <x:c r="J29" s="22" t="str">
        <x:v>Integrated-system</x:v>
      </x:c>
      <x:c r="K29" s="22" t="str">
        <x:v>Simulation</x:v>
      </x:c>
      <x:c r="L29" s="22" t="str">
        <x:v>Direct</x:v>
      </x:c>
      <x:c r="M29" s="22" t="str">
        <x:v>Yes</x:v>
      </x:c>
      <x:c r="N29" s="22" t="str">
        <x:v>Mixed / trade-off / scenario-dependent</x:v>
      </x:c>
      <x:c r="O29" s="22" t="str">
        <x:v>Observed-data calibration/validation; Scenario/policy/reference comparison</x:v>
      </x:c>
      <x:c r="P29" s="22" t="str">
        <x:v>No</x:v>
      </x:c>
      <x:c r="Q29" s="22" t="n">
        <x:v>14</x:v>
      </x:c>
      <x:c r="R29" s="22" t="str">
        <x:v>Yes</x:v>
      </x:c>
      <x:c r="S29" s="22" t="str">
        <x:v>Yes</x:v>
      </x:c>
      <x:c r="T29" s="22" t="str">
        <x:v>Assessing Adaptive Irrigation Impacts on Water Scarcity in Nonstationary Environments—A Multi-Agent Reinforcement Learning Approach</x:v>
      </x:c>
    </x:row>
    <x:row r="30">
      <x:c r="A30" s="22" t="str">
        <x:v>S27</x:v>
      </x:c>
      <x:c r="B30" s="22" t="str">
        <x:v>SF27</x:v>
      </x:c>
      <x:c r="C30" s="22" t="n">
        <x:v>2013</x:v>
      </x:c>
      <x:c r="D30" s="22" t="str">
        <x:v>Irrigation / water management</x:v>
      </x:c>
      <x:c r="E30" s="22" t="str">
        <x:v>Policy / socio-ecological assessment</x:v>
      </x:c>
      <x:c r="F30" s="22" t="str">
        <x:v>Decentralised</x:v>
      </x:c>
      <x:c r="G30" s="22" t="str">
        <x:v>Farmer / producer</x:v>
      </x:c>
      <x:c r="H30" s="22" t="str">
        <x:v>Rule-based; Utility / economic</x:v>
      </x:c>
      <x:c r="I30" s="22" t="str">
        <x:v>Environment / shared-resource mediated</x:v>
      </x:c>
      <x:c r="J30" s="22" t="str">
        <x:v>Integrated-system</x:v>
      </x:c>
      <x:c r="K30" s="22" t="str">
        <x:v>Simulation</x:v>
      </x:c>
      <x:c r="L30" s="22" t="str">
        <x:v>Direct</x:v>
      </x:c>
      <x:c r="M30" s="22" t="str">
        <x:v>Yes</x:v>
      </x:c>
      <x:c r="N30" s="22" t="str">
        <x:v>Mixed / trade-off / scenario-dependent</x:v>
      </x:c>
      <x:c r="O30" s="22" t="str">
        <x:v>Scenario/policy/reference comparison</x:v>
      </x:c>
      <x:c r="P30" s="22" t="str">
        <x:v>No</x:v>
      </x:c>
      <x:c r="Q30" s="22" t="n">
        <x:v>13</x:v>
      </x:c>
      <x:c r="R30" s="22" t="str">
        <x:v>NR</x:v>
      </x:c>
      <x:c r="S30" s="22" t="str">
        <x:v>NR</x:v>
      </x:c>
      <x:c r="T30" s="22" t="str">
        <x:v>Multi-agent agro-economic simulation of irrigation water demand with climate services for climate change adaptation</x:v>
      </x:c>
    </x:row>
    <x:row r="31">
      <x:c r="A31" s="22" t="str">
        <x:v>S28</x:v>
      </x:c>
      <x:c r="B31" s="22" t="str">
        <x:v>SF28</x:v>
      </x:c>
      <x:c r="C31" s="22" t="n">
        <x:v>2010</x:v>
      </x:c>
      <x:c r="D31" s="22" t="str">
        <x:v>Soil / nutrient / environmental management</x:v>
      </x:c>
      <x:c r="E31" s="22" t="str">
        <x:v>Operational allocation / control</x:v>
      </x:c>
      <x:c r="F31" s="22" t="str">
        <x:v>Hierarchical</x:v>
      </x:c>
      <x:c r="G31" s="22" t="str">
        <x:v>Farmer / producer; Manager / regulator</x:v>
      </x:c>
      <x:c r="H31" s="22" t="str">
        <x:v>Utility / economic; Rule-based</x:v>
      </x:c>
      <x:c r="I31" s="22" t="str">
        <x:v>Hierarchical / supervisory; Optimisation / scheduling; Auction / market</x:v>
      </x:c>
      <x:c r="J31" s="22" t="str">
        <x:v>Integrated-system</x:v>
      </x:c>
      <x:c r="K31" s="22" t="str">
        <x:v>Simulation</x:v>
      </x:c>
      <x:c r="L31" s="22" t="str">
        <x:v>Direct</x:v>
      </x:c>
      <x:c r="M31" s="22" t="str">
        <x:v>Yes</x:v>
      </x:c>
      <x:c r="N31" s="22" t="str">
        <x:v>Mixed / trade-off / scenario-dependent</x:v>
      </x:c>
      <x:c r="O31" s="22" t="str">
        <x:v>Observed-data calibration/validation; Scenario/policy/reference comparison</x:v>
      </x:c>
      <x:c r="P31" s="22" t="str">
        <x:v>No</x:v>
      </x:c>
      <x:c r="Q31" s="22" t="n">
        <x:v>14</x:v>
      </x:c>
      <x:c r="R31" s="22" t="str">
        <x:v>NR</x:v>
      </x:c>
      <x:c r="S31" s="22" t="str">
        <x:v>NR</x:v>
      </x:c>
      <x:c r="T31" s="22" t="str">
        <x:v>A multi-agent simulation model for spatial optimisation of manure allocation</x:v>
      </x:c>
    </x:row>
    <x:row r="32">
      <x:c r="A32" s="22" t="str">
        <x:v>S29</x:v>
      </x:c>
      <x:c r="B32" s="22" t="str">
        <x:v>SF05</x:v>
      </x:c>
      <x:c r="C32" s="22" t="n">
        <x:v>2024</x:v>
      </x:c>
      <x:c r="D32" s="22" t="str">
        <x:v>Energy / WEF nexus</x:v>
      </x:c>
      <x:c r="E32" s="22" t="str">
        <x:v>Trading / collective governance</x:v>
      </x:c>
      <x:c r="F32" s="22" t="str">
        <x:v>Hybrid</x:v>
      </x:c>
      <x:c r="G32" s="22" t="str">
        <x:v>Farmer / producer; Market / trader</x:v>
      </x:c>
      <x:c r="H32" s="22" t="str">
        <x:v>Rule-based</x:v>
      </x:c>
      <x:c r="I32" s="22" t="str">
        <x:v>Auction / market; Hierarchical / supervisory</x:v>
      </x:c>
      <x:c r="J32" s="22" t="str">
        <x:v>Single-domain</x:v>
      </x:c>
      <x:c r="K32" s="22" t="str">
        <x:v>Simulation</x:v>
      </x:c>
      <x:c r="L32" s="22" t="str">
        <x:v>Indirect</x:v>
      </x:c>
      <x:c r="M32" s="22" t="str">
        <x:v>Yes</x:v>
      </x:c>
      <x:c r="N32" s="22" t="str">
        <x:v>Favourable (conditional/simulated)</x:v>
      </x:c>
      <x:c r="O32" s="22" t="str">
        <x:v>Scenario/policy/reference comparison</x:v>
      </x:c>
      <x:c r="P32" s="22" t="str">
        <x:v>No</x:v>
      </x:c>
      <x:c r="Q32" s="22" t="n">
        <x:v>12</x:v>
      </x:c>
      <x:c r="R32" s="22" t="str">
        <x:v>NR</x:v>
      </x:c>
      <x:c r="S32" s="22" t="str">
        <x:v>NR</x:v>
      </x:c>
      <x:c r="T32" s="22" t="str">
        <x:v>A Multi-agent Systems Approach for Peer-to-Peer Energy Trading in Dairy Farming</x:v>
      </x:c>
    </x:row>
    <x:row r="33">
      <x:c r="A33" s="22" t="str">
        <x:v>S30</x:v>
      </x:c>
      <x:c r="B33" s="22" t="str">
        <x:v>SF30</x:v>
      </x:c>
      <x:c r="C33" s="22" t="n">
        <x:v>2018</x:v>
      </x:c>
      <x:c r="D33" s="22" t="str">
        <x:v>Irrigation / water management</x:v>
      </x:c>
      <x:c r="E33" s="22" t="str">
        <x:v>Operational allocation / control</x:v>
      </x:c>
      <x:c r="F33" s="22" t="str">
        <x:v>Distributed</x:v>
      </x:c>
      <x:c r="G33" s="22" t="str">
        <x:v>Operational / robot; Market / trader</x:v>
      </x:c>
      <x:c r="H33" s="22" t="str">
        <x:v>NR</x:v>
      </x:c>
      <x:c r="I33" s="22" t="str">
        <x:v>Auction / market; Optimisation / scheduling</x:v>
      </x:c>
      <x:c r="J33" s="22" t="str">
        <x:v>Single-domain</x:v>
      </x:c>
      <x:c r="K33" s="22" t="str">
        <x:v>Simulation</x:v>
      </x:c>
      <x:c r="L33" s="22" t="str">
        <x:v>Indirect</x:v>
      </x:c>
      <x:c r="M33" s="22" t="str">
        <x:v>Yes</x:v>
      </x:c>
      <x:c r="N33" s="22" t="str">
        <x:v>Mixed / trade-off / scenario-dependent</x:v>
      </x:c>
      <x:c r="O33" s="22" t="str">
        <x:v>Operational/heuristic counterfactual; Scenario/policy/reference comparison</x:v>
      </x:c>
      <x:c r="P33" s="22" t="str">
        <x:v>No</x:v>
      </x:c>
      <x:c r="Q33" s="22" t="n">
        <x:v>13</x:v>
      </x:c>
      <x:c r="R33" s="22" t="str">
        <x:v>NR</x:v>
      </x:c>
      <x:c r="S33" s="22" t="str">
        <x:v>NR</x:v>
      </x:c>
      <x:c r="T33" s="22" t="str">
        <x:v>Heterogeneous multi-agent resource allocation through multi-bidding with applications to precision agriculture</x:v>
      </x:c>
    </x:row>
    <x:row r="34">
      <x:c r="A34" s="22" t="str">
        <x:v>S31</x:v>
      </x:c>
      <x:c r="B34" s="22" t="str">
        <x:v>SF31</x:v>
      </x:c>
      <x:c r="C34" s="22" t="n">
        <x:v>2022</x:v>
      </x:c>
      <x:c r="D34" s="22" t="str">
        <x:v>Workforce / robotics / task allocation</x:v>
      </x:c>
      <x:c r="E34" s="22" t="str">
        <x:v>Operational allocation / control</x:v>
      </x:c>
      <x:c r="F34" s="22" t="str">
        <x:v>Decentralised</x:v>
      </x:c>
      <x:c r="G34" s="22" t="str">
        <x:v>Operational / robot; Market / trader</x:v>
      </x:c>
      <x:c r="H34" s="22" t="str">
        <x:v>NR</x:v>
      </x:c>
      <x:c r="I34" s="22" t="str">
        <x:v>Auction / market; Optimisation / scheduling</x:v>
      </x:c>
      <x:c r="J34" s="22" t="str">
        <x:v>Single-domain</x:v>
      </x:c>
      <x:c r="K34" s="22" t="str">
        <x:v>Simulation</x:v>
      </x:c>
      <x:c r="L34" s="22" t="str">
        <x:v>Indirect</x:v>
      </x:c>
      <x:c r="M34" s="22" t="str">
        <x:v>Yes</x:v>
      </x:c>
      <x:c r="N34" s="22" t="str">
        <x:v>Favourable (conditional/simulated)</x:v>
      </x:c>
      <x:c r="O34" s="22" t="str">
        <x:v>Algorithmic/method baseline</x:v>
      </x:c>
      <x:c r="P34" s="22" t="str">
        <x:v>No</x:v>
      </x:c>
      <x:c r="Q34" s="22" t="n">
        <x:v>12</x:v>
      </x:c>
      <x:c r="R34" s="22" t="str">
        <x:v>NR</x:v>
      </x:c>
      <x:c r="S34" s="22" t="str">
        <x:v>NR</x:v>
      </x:c>
      <x:c r="T34" s="22" t="str">
        <x:v>Dynamic Task Allocation Method for Heterogenous Multiagent System in Uncertain Scenarios of Agricultural Field Operation</x:v>
      </x:c>
    </x:row>
    <x:row r="35">
      <x:c r="A35" s="22" t="str">
        <x:v>S32</x:v>
      </x:c>
      <x:c r="B35" s="22" t="str">
        <x:v>SF32</x:v>
      </x:c>
      <x:c r="C35" s="22" t="n">
        <x:v>2012</x:v>
      </x:c>
      <x:c r="D35" s="22" t="str">
        <x:v>Irrigation / water management</x:v>
      </x:c>
      <x:c r="E35" s="22" t="str">
        <x:v>Trading / collective governance</x:v>
      </x:c>
      <x:c r="F35" s="22" t="str">
        <x:v>Decentralised</x:v>
      </x:c>
      <x:c r="G35" s="22" t="str">
        <x:v>Farmer / producer</x:v>
      </x:c>
      <x:c r="H35" s="22" t="str">
        <x:v>Learning-based; Utility / economic; Rule-based</x:v>
      </x:c>
      <x:c r="I35" s="22" t="str">
        <x:v>Environment / shared-resource mediated; Learning / MARL</x:v>
      </x:c>
      <x:c r="J35" s="22" t="str">
        <x:v>Single-domain</x:v>
      </x:c>
      <x:c r="K35" s="22" t="str">
        <x:v>Simulation</x:v>
      </x:c>
      <x:c r="L35" s="22" t="str">
        <x:v>Direct</x:v>
      </x:c>
      <x:c r="M35" s="22" t="str">
        <x:v>Yes</x:v>
      </x:c>
      <x:c r="N35" s="22" t="str">
        <x:v>Favourable (conditional/simulated)</x:v>
      </x:c>
      <x:c r="O35" s="22" t="str">
        <x:v>Observed-data calibration/validation; Scenario/policy/reference comparison</x:v>
      </x:c>
      <x:c r="P35" s="22" t="str">
        <x:v>No</x:v>
      </x:c>
      <x:c r="Q35" s="22" t="n">
        <x:v>13</x:v>
      </x:c>
      <x:c r="R35" s="22" t="str">
        <x:v>NR</x:v>
      </x:c>
      <x:c r="S35" s="22" t="str">
        <x:v>NR</x:v>
      </x:c>
      <x:c r="T35" s="22" t="str">
        <x:v>A constrained multi-agent system compensating for self-lucrative behaviours in water resource sharing</x:v>
      </x:c>
    </x:row>
    <x:row r="36">
      <x:c r="A36" s="22" t="str">
        <x:v>S33</x:v>
      </x:c>
      <x:c r="B36" s="22" t="str">
        <x:v>SF25</x:v>
      </x:c>
      <x:c r="C36" s="22" t="n">
        <x:v>2022</x:v>
      </x:c>
      <x:c r="D36" s="22" t="str">
        <x:v>Workforce / robotics / task allocation</x:v>
      </x:c>
      <x:c r="E36" s="22" t="str">
        <x:v>Operational allocation / control</x:v>
      </x:c>
      <x:c r="F36" s="22" t="str">
        <x:v>Centralised</x:v>
      </x:c>
      <x:c r="G36" s="22" t="str">
        <x:v>Operational / robot; Manager / regulator</x:v>
      </x:c>
      <x:c r="H36" s="22" t="str">
        <x:v>Utility / economic; Rule-based</x:v>
      </x:c>
      <x:c r="I36" s="22" t="str">
        <x:v>Optimisation / scheduling; Auction / market</x:v>
      </x:c>
      <x:c r="J36" s="22" t="str">
        <x:v>Single-domain</x:v>
      </x:c>
      <x:c r="K36" s="22" t="str">
        <x:v>Prototype</x:v>
      </x:c>
      <x:c r="L36" s="22" t="str">
        <x:v>Indirect</x:v>
      </x:c>
      <x:c r="M36" s="22" t="str">
        <x:v>Yes</x:v>
      </x:c>
      <x:c r="N36" s="22" t="str">
        <x:v>Favourable (conditional/simulated)</x:v>
      </x:c>
      <x:c r="O36" s="22" t="str">
        <x:v>Algorithmic/method baseline; Historical/real-practice comparison</x:v>
      </x:c>
      <x:c r="P36" s="22" t="str">
        <x:v>No</x:v>
      </x:c>
      <x:c r="Q36" s="22" t="n">
        <x:v>14</x:v>
      </x:c>
      <x:c r="R36" s="22" t="str">
        <x:v>NR</x:v>
      </x:c>
      <x:c r="S36" s="22" t="str">
        <x:v>NR</x:v>
      </x:c>
      <x:c r="T36" s="22" t="str">
        <x:v>Multi-agent task allocation for harvest management</x:v>
      </x:c>
    </x:row>
    <x:row r="37">
      <x:c r="A37" s="22" t="str">
        <x:v>S34</x:v>
      </x:c>
      <x:c r="B37" s="22" t="str">
        <x:v>SF25</x:v>
      </x:c>
      <x:c r="C37" s="22" t="n">
        <x:v>2022</x:v>
      </x:c>
      <x:c r="D37" s="22" t="str">
        <x:v>Workforce / robotics / task allocation</x:v>
      </x:c>
      <x:c r="E37" s="22" t="str">
        <x:v>Operational allocation / control</x:v>
      </x:c>
      <x:c r="F37" s="22" t="str">
        <x:v>Centralised</x:v>
      </x:c>
      <x:c r="G37" s="22" t="str">
        <x:v>Operational / robot; Manager / regulator</x:v>
      </x:c>
      <x:c r="H37" s="22" t="str">
        <x:v>Utility / economic; Rule-based</x:v>
      </x:c>
      <x:c r="I37" s="22" t="str">
        <x:v>Optimisation / scheduling; Auction / market</x:v>
      </x:c>
      <x:c r="J37" s="22" t="str">
        <x:v>Single-domain</x:v>
      </x:c>
      <x:c r="K37" s="22" t="str">
        <x:v>Prototype</x:v>
      </x:c>
      <x:c r="L37" s="22" t="str">
        <x:v>Indirect</x:v>
      </x:c>
      <x:c r="M37" s="22" t="str">
        <x:v>Yes</x:v>
      </x:c>
      <x:c r="N37" s="22" t="str">
        <x:v>Favourable (conditional/simulated)</x:v>
      </x:c>
      <x:c r="O37" s="22" t="str">
        <x:v>Algorithmic/method baseline; Historical/real-practice comparison</x:v>
      </x:c>
      <x:c r="P37" s="22" t="str">
        <x:v>No</x:v>
      </x:c>
      <x:c r="Q37" s="22" t="n">
        <x:v>13</x:v>
      </x:c>
      <x:c r="R37" s="22" t="str">
        <x:v>NR</x:v>
      </x:c>
      <x:c r="S37" s="22" t="str">
        <x:v>NR</x:v>
      </x:c>
      <x:c r="T37" s="22" t="str">
        <x:v>Multi-Agent Task Allocation Techniques for Harvest Team Formation</x:v>
      </x:c>
    </x:row>
    <x:row r="38">
      <x:c r="A38" s="22" t="str">
        <x:v>S35</x:v>
      </x:c>
      <x:c r="B38" s="22" t="str">
        <x:v>SF35</x:v>
      </x:c>
      <x:c r="C38" s="22" t="n">
        <x:v>2011</x:v>
      </x:c>
      <x:c r="D38" s="22" t="str">
        <x:v>Crop / farm management</x:v>
      </x:c>
      <x:c r="E38" s="22" t="str">
        <x:v>Policy / socio-ecological assessment</x:v>
      </x:c>
      <x:c r="F38" s="22" t="str">
        <x:v>Hybrid</x:v>
      </x:c>
      <x:c r="G38" s="22" t="str">
        <x:v>Farmer / producer; Manager / regulator; Biophysical representation; Market / trader</x:v>
      </x:c>
      <x:c r="H38" s="22" t="str">
        <x:v>Utility / economic; Rule-based</x:v>
      </x:c>
      <x:c r="I38" s="22" t="str">
        <x:v>Auction / market; Peer diffusion / exchange; Environment / shared-resource mediated</x:v>
      </x:c>
      <x:c r="J38" s="22" t="str">
        <x:v>Integrated-system</x:v>
      </x:c>
      <x:c r="K38" s="22" t="str">
        <x:v>Simulation</x:v>
      </x:c>
      <x:c r="L38" s="22" t="str">
        <x:v>Direct</x:v>
      </x:c>
      <x:c r="M38" s="22" t="str">
        <x:v>Yes</x:v>
      </x:c>
      <x:c r="N38" s="22" t="str">
        <x:v>Descriptive / feasibility / no directional conclusion</x:v>
      </x:c>
      <x:c r="O38" s="22" t="str">
        <x:v>Observed-data calibration/validation; Scenario/policy/reference comparison</x:v>
      </x:c>
      <x:c r="P38" s="22" t="str">
        <x:v>No</x:v>
      </x:c>
      <x:c r="Q38" s="22" t="n">
        <x:v>14</x:v>
      </x:c>
      <x:c r="R38" s="22" t="str">
        <x:v>Yes</x:v>
      </x:c>
      <x:c r="S38" s="22" t="str">
        <x:v>Yes</x:v>
      </x:c>
      <x:c r="T38" s="22" t="str">
        <x:v>An agent-based simulation model of human–environment interactions in agricultural systems</x:v>
      </x:c>
    </x:row>
    <x:row r="39">
      <x:c r="A39" s="22" t="str">
        <x:v>S36</x:v>
      </x:c>
      <x:c r="B39" s="22" t="str">
        <x:v>SF36</x:v>
      </x:c>
      <x:c r="C39" s="22" t="n">
        <x:v>2017</x:v>
      </x:c>
      <x:c r="D39" s="22" t="str">
        <x:v>Crop / farm management</x:v>
      </x:c>
      <x:c r="E39" s="22" t="str">
        <x:v>Policy / socio-ecological assessment</x:v>
      </x:c>
      <x:c r="F39" s="22" t="str">
        <x:v>Decentralised</x:v>
      </x:c>
      <x:c r="G39" s="22" t="str">
        <x:v>Farmer / producer</x:v>
      </x:c>
      <x:c r="H39" s="22" t="str">
        <x:v>Utility / economic; Rule-based</x:v>
      </x:c>
      <x:c r="I39" s="22" t="str">
        <x:v>Peer diffusion / exchange</x:v>
      </x:c>
      <x:c r="J39" s="22" t="str">
        <x:v>Integrated-system</x:v>
      </x:c>
      <x:c r="K39" s="22" t="str">
        <x:v>Simulation</x:v>
      </x:c>
      <x:c r="L39" s="22" t="str">
        <x:v>Direct</x:v>
      </x:c>
      <x:c r="M39" s="22" t="str">
        <x:v>Yes</x:v>
      </x:c>
      <x:c r="N39" s="22" t="str">
        <x:v>Favourable (conditional/simulated)</x:v>
      </x:c>
      <x:c r="O39" s="22" t="str">
        <x:v>Observed-data calibration/validation; Scenario/policy/reference comparison</x:v>
      </x:c>
      <x:c r="P39" s="22" t="str">
        <x:v>No</x:v>
      </x:c>
      <x:c r="Q39" s="22" t="n">
        <x:v>14</x:v>
      </x:c>
      <x:c r="R39" s="22" t="str">
        <x:v>Yes</x:v>
      </x:c>
      <x:c r="S39" s="22" t="str">
        <x:v>Yes</x:v>
      </x:c>
      <x:c r="T39" s="22" t="str">
        <x:v>'Smart' policies to reduce pesticide use and avoid income trade-offs: An agent-based model applied to Thai agriculture</x:v>
      </x:c>
    </x:row>
    <x:row r="40">
      <x:c r="A40" s="22" t="str">
        <x:v>S37</x:v>
      </x:c>
      <x:c r="B40" s="22" t="str">
        <x:v>SF37</x:v>
      </x:c>
      <x:c r="C40" s="22" t="n">
        <x:v>2014</x:v>
      </x:c>
      <x:c r="D40" s="22" t="str">
        <x:v>Soil / nutrient / environmental management</x:v>
      </x:c>
      <x:c r="E40" s="22" t="str">
        <x:v>Policy / socio-ecological assessment</x:v>
      </x:c>
      <x:c r="F40" s="22" t="str">
        <x:v>Hybrid</x:v>
      </x:c>
      <x:c r="G40" s="22" t="str">
        <x:v>Farmer / producer; Biophysical representation</x:v>
      </x:c>
      <x:c r="H40" s="22" t="str">
        <x:v>Utility / economic; Rule-based</x:v>
      </x:c>
      <x:c r="I40" s="22" t="str">
        <x:v>Peer diffusion / exchange; Environment / shared-resource mediated</x:v>
      </x:c>
      <x:c r="J40" s="22" t="str">
        <x:v>Integrated-system</x:v>
      </x:c>
      <x:c r="K40" s="22" t="str">
        <x:v>Simulation</x:v>
      </x:c>
      <x:c r="L40" s="22" t="str">
        <x:v>Direct</x:v>
      </x:c>
      <x:c r="M40" s="22" t="str">
        <x:v>Yes</x:v>
      </x:c>
      <x:c r="N40" s="22" t="str">
        <x:v>Favourable (conditional/simulated)</x:v>
      </x:c>
      <x:c r="O40" s="22" t="str">
        <x:v>Observed-data calibration/validation; Scenario/policy/reference comparison</x:v>
      </x:c>
      <x:c r="P40" s="22" t="str">
        <x:v>No</x:v>
      </x:c>
      <x:c r="Q40" s="22" t="n">
        <x:v>14</x:v>
      </x:c>
      <x:c r="R40" s="22" t="str">
        <x:v>Yes</x:v>
      </x:c>
      <x:c r="S40" s="22" t="str">
        <x:v>Yes</x:v>
      </x:c>
      <x:c r="T40" s="22" t="str">
        <x:v>Ex-ante assessment of soil conservation methods in the uplands of Vietnam: An agent-based modeling approach</x:v>
      </x:c>
    </x:row>
    <x:row r="41">
      <x:c r="A41" s="22" t="str">
        <x:v>S38</x:v>
      </x:c>
      <x:c r="B41" s="22" t="str">
        <x:v>SF38</x:v>
      </x:c>
      <x:c r="C41" s="22" t="n">
        <x:v>2017</x:v>
      </x:c>
      <x:c r="D41" s="22" t="str">
        <x:v>Irrigation / water management</x:v>
      </x:c>
      <x:c r="E41" s="22" t="str">
        <x:v>Trading / collective governance</x:v>
      </x:c>
      <x:c r="F41" s="22" t="str">
        <x:v>Decentralised</x:v>
      </x:c>
      <x:c r="G41" s="22" t="str">
        <x:v>Farmer / producer; Manager / regulator</x:v>
      </x:c>
      <x:c r="H41" s="22" t="str">
        <x:v>Rule-based</x:v>
      </x:c>
      <x:c r="I41" s="22" t="str">
        <x:v>Peer diffusion / exchange; Direct negotiation / agreements</x:v>
      </x:c>
      <x:c r="J41" s="22" t="str">
        <x:v>Single-domain</x:v>
      </x:c>
      <x:c r="K41" s="22" t="str">
        <x:v>Simulation</x:v>
      </x:c>
      <x:c r="L41" s="22" t="str">
        <x:v>Direct</x:v>
      </x:c>
      <x:c r="M41" s="22" t="str">
        <x:v>Yes</x:v>
      </x:c>
      <x:c r="N41" s="22" t="str">
        <x:v>Mixed / trade-off / scenario-dependent</x:v>
      </x:c>
      <x:c r="O41" s="22" t="str">
        <x:v>Scenario/policy/reference comparison</x:v>
      </x:c>
      <x:c r="P41" s="22" t="str">
        <x:v>No</x:v>
      </x:c>
      <x:c r="Q41" s="22" t="n">
        <x:v>13</x:v>
      </x:c>
      <x:c r="R41" s="22" t="str">
        <x:v>Yes</x:v>
      </x:c>
      <x:c r="S41" s="22" t="str">
        <x:v>NR</x:v>
      </x:c>
      <x:c r="T41" s="22" t="str">
        <x:v>An agent-based simulation of cooperation in the use of irrigation systems</x:v>
      </x:c>
    </x:row>
    <x:row r="42">
      <x:c r="A42" s="22" t="str">
        <x:v>S39</x:v>
      </x:c>
      <x:c r="B42" s="22" t="str">
        <x:v>SF39</x:v>
      </x:c>
      <x:c r="C42" s="22" t="n">
        <x:v>2020</x:v>
      </x:c>
      <x:c r="D42" s="22" t="str">
        <x:v>Irrigation / water management</x:v>
      </x:c>
      <x:c r="E42" s="22" t="str">
        <x:v>Trading / collective governance</x:v>
      </x:c>
      <x:c r="F42" s="22" t="str">
        <x:v>Decentralised</x:v>
      </x:c>
      <x:c r="G42" s="22" t="str">
        <x:v>Farmer / producer; Biophysical representation</x:v>
      </x:c>
      <x:c r="H42" s="22" t="str">
        <x:v>Rule-based</x:v>
      </x:c>
      <x:c r="I42" s="22" t="str">
        <x:v>Environment / shared-resource mediated</x:v>
      </x:c>
      <x:c r="J42" s="22" t="str">
        <x:v>Integrated-system</x:v>
      </x:c>
      <x:c r="K42" s="22" t="str">
        <x:v>Simulation</x:v>
      </x:c>
      <x:c r="L42" s="22" t="str">
        <x:v>Direct</x:v>
      </x:c>
      <x:c r="M42" s="22" t="str">
        <x:v>Yes</x:v>
      </x:c>
      <x:c r="N42" s="22" t="str">
        <x:v>Mixed / trade-off / scenario-dependent</x:v>
      </x:c>
      <x:c r="O42" s="22" t="str">
        <x:v>Scenario/policy/reference comparison</x:v>
      </x:c>
      <x:c r="P42" s="22" t="str">
        <x:v>No</x:v>
      </x:c>
      <x:c r="Q42" s="22" t="n">
        <x:v>13</x:v>
      </x:c>
      <x:c r="R42" s="22" t="str">
        <x:v>NR</x:v>
      </x:c>
      <x:c r="S42" s="22" t="str">
        <x:v>NR</x:v>
      </x:c>
      <x:c r="T42" s="22" t="str">
        <x:v>Water management for irrigation, crop yield and social attitudes: a socio-agricultural agent-based model to explore a collective action problem</x:v>
      </x:c>
    </x:row>
    <x:row r="43">
      <x:c r="A43" s="22" t="str">
        <x:v>S40</x:v>
      </x:c>
      <x:c r="B43" s="22" t="str">
        <x:v>SF40</x:v>
      </x:c>
      <x:c r="C43" s="22" t="n">
        <x:v>2011</x:v>
      </x:c>
      <x:c r="D43" s="22" t="str">
        <x:v>Crop / farm management</x:v>
      </x:c>
      <x:c r="E43" s="22" t="str">
        <x:v>Policy / socio-ecological assessment</x:v>
      </x:c>
      <x:c r="F43" s="22" t="str">
        <x:v>Decentralised</x:v>
      </x:c>
      <x:c r="G43" s="22" t="str">
        <x:v>Farmer / producer; Biophysical representation</x:v>
      </x:c>
      <x:c r="H43" s="22" t="str">
        <x:v>Utility / economic; Learning-based</x:v>
      </x:c>
      <x:c r="I43" s="22" t="str">
        <x:v>Peer diffusion / exchange; Environment / shared-resource mediated</x:v>
      </x:c>
      <x:c r="J43" s="22" t="str">
        <x:v>Integrated-system</x:v>
      </x:c>
      <x:c r="K43" s="22" t="str">
        <x:v>Simulation</x:v>
      </x:c>
      <x:c r="L43" s="22" t="str">
        <x:v>Direct</x:v>
      </x:c>
      <x:c r="M43" s="22" t="str">
        <x:v>Yes</x:v>
      </x:c>
      <x:c r="N43" s="22" t="str">
        <x:v>Mixed / trade-off / scenario-dependent</x:v>
      </x:c>
      <x:c r="O43" s="22" t="str">
        <x:v>Scenario/policy/reference comparison</x:v>
      </x:c>
      <x:c r="P43" s="22" t="str">
        <x:v>No</x:v>
      </x:c>
      <x:c r="Q43" s="22" t="n">
        <x:v>13</x:v>
      </x:c>
      <x:c r="R43" s="22" t="str">
        <x:v>NR</x:v>
      </x:c>
      <x:c r="S43" s="22" t="str">
        <x:v>NR</x:v>
      </x:c>
      <x:c r="T43" s="22" t="str">
        <x:v>An agent-based model of farmer decision-making and water quality impacts at the watershed scale under markets for carbon allowances and a second-generation biofuel crop</x:v>
      </x:c>
    </x:row>
    <x:row r="44">
      <x:c r="A44" s="22" t="str">
        <x:v>S41</x:v>
      </x:c>
      <x:c r="B44" s="22" t="str">
        <x:v>SF41</x:v>
      </x:c>
      <x:c r="C44" s="22" t="n">
        <x:v>2018</x:v>
      </x:c>
      <x:c r="D44" s="22" t="str">
        <x:v>Irrigation / water management</x:v>
      </x:c>
      <x:c r="E44" s="22" t="str">
        <x:v>Operational allocation / control</x:v>
      </x:c>
      <x:c r="F44" s="22" t="str">
        <x:v>Hierarchical</x:v>
      </x:c>
      <x:c r="G44" s="22" t="str">
        <x:v>Farmer / producer; Manager / regulator</x:v>
      </x:c>
      <x:c r="H44" s="22" t="str">
        <x:v>Rule-based; Utility / economic</x:v>
      </x:c>
      <x:c r="I44" s="22" t="str">
        <x:v>Hierarchical / supervisory; Peer diffusion / exchange; Optimisation / scheduling</x:v>
      </x:c>
      <x:c r="J44" s="22" t="str">
        <x:v>Integrated-system</x:v>
      </x:c>
      <x:c r="K44" s="22" t="str">
        <x:v>Simulation</x:v>
      </x:c>
      <x:c r="L44" s="22" t="str">
        <x:v>Direct</x:v>
      </x:c>
      <x:c r="M44" s="22" t="str">
        <x:v>Yes</x:v>
      </x:c>
      <x:c r="N44" s="22" t="str">
        <x:v>Favourable (conditional/simulated)</x:v>
      </x:c>
      <x:c r="O44" s="22" t="str">
        <x:v>Operational/heuristic counterfactual; Scenario/policy/reference comparison</x:v>
      </x:c>
      <x:c r="P44" s="22" t="str">
        <x:v>No</x:v>
      </x:c>
      <x:c r="Q44" s="22" t="n">
        <x:v>13</x:v>
      </x:c>
      <x:c r="R44" s="22" t="str">
        <x:v>NR</x:v>
      </x:c>
      <x:c r="S44" s="22" t="str">
        <x:v>NR</x:v>
      </x:c>
      <x:c r="T44" s="22" t="str">
        <x:v>A hybrid TOPSIS-agent-based framework for reducing the water demand requested by stakeholders with considering the agents’ characteristics and optimization of cropping pattern</x:v>
      </x:c>
    </x:row>
    <x:row r="45">
      <x:c r="A45" s="22" t="str">
        <x:v>S42</x:v>
      </x:c>
      <x:c r="B45" s="22" t="str">
        <x:v>SF42</x:v>
      </x:c>
      <x:c r="C45" s="22" t="n">
        <x:v>2014</x:v>
      </x:c>
      <x:c r="D45" s="22" t="str">
        <x:v>Irrigation / water management</x:v>
      </x:c>
      <x:c r="E45" s="22" t="str">
        <x:v>Policy / socio-ecological assessment</x:v>
      </x:c>
      <x:c r="F45" s="22" t="str">
        <x:v>Hybrid</x:v>
      </x:c>
      <x:c r="G45" s="22" t="str">
        <x:v>Farmer / producer; Manager / regulator; Biophysical representation</x:v>
      </x:c>
      <x:c r="H45" s="22" t="str">
        <x:v>Rule-based</x:v>
      </x:c>
      <x:c r="I45" s="22" t="str">
        <x:v>Environment / shared-resource mediated; Hierarchical / supervisory; Optimisation / scheduling</x:v>
      </x:c>
      <x:c r="J45" s="22" t="str">
        <x:v>Integrated-system</x:v>
      </x:c>
      <x:c r="K45" s="22" t="str">
        <x:v>Simulation</x:v>
      </x:c>
      <x:c r="L45" s="22" t="str">
        <x:v>Direct</x:v>
      </x:c>
      <x:c r="M45" s="22" t="str">
        <x:v>Yes</x:v>
      </x:c>
      <x:c r="N45" s="22" t="str">
        <x:v>Descriptive / feasibility / no directional conclusion</x:v>
      </x:c>
      <x:c r="O45" s="22" t="str">
        <x:v>Observed-data calibration/validation</x:v>
      </x:c>
      <x:c r="P45" s="22" t="str">
        <x:v>No</x:v>
      </x:c>
      <x:c r="Q45" s="22" t="n">
        <x:v>13</x:v>
      </x:c>
      <x:c r="R45" s="22" t="str">
        <x:v>NR</x:v>
      </x:c>
      <x:c r="S45" s="22" t="str">
        <x:v>NR</x:v>
      </x:c>
      <x:c r="T45" s="22" t="str">
        <x:v>Fine spatio-temporal simulation of cropping and farming systems effects on irrigation withdrawal dynamics within a river basin</x:v>
      </x:c>
    </x:row>
    <x:row r="46">
      <x:c r="A46" s="22" t="str">
        <x:v>S43</x:v>
      </x:c>
      <x:c r="B46" s="22" t="str">
        <x:v>SF43</x:v>
      </x:c>
      <x:c r="C46" s="22" t="n">
        <x:v>2001</x:v>
      </x:c>
      <x:c r="D46" s="22" t="str">
        <x:v>Crop / farm management</x:v>
      </x:c>
      <x:c r="E46" s="22" t="str">
        <x:v>Policy / socio-ecological assessment</x:v>
      </x:c>
      <x:c r="F46" s="22" t="str">
        <x:v>Hybrid</x:v>
      </x:c>
      <x:c r="G46" s="22" t="str">
        <x:v>Farmer / producer; Biophysical representation; Market / trader</x:v>
      </x:c>
      <x:c r="H46" s="22" t="str">
        <x:v>Utility / economic; Rule-based</x:v>
      </x:c>
      <x:c r="I46" s="22" t="str">
        <x:v>Auction / market; Peer diffusion / exchange; Environment / shared-resource mediated</x:v>
      </x:c>
      <x:c r="J46" s="22" t="str">
        <x:v>Integrated-system</x:v>
      </x:c>
      <x:c r="K46" s="22" t="str">
        <x:v>Simulation</x:v>
      </x:c>
      <x:c r="L46" s="22" t="str">
        <x:v>Direct</x:v>
      </x:c>
      <x:c r="M46" s="22" t="str">
        <x:v>Yes</x:v>
      </x:c>
      <x:c r="N46" s="22" t="str">
        <x:v>Mixed / trade-off / scenario-dependent</x:v>
      </x:c>
      <x:c r="O46" s="22" t="str">
        <x:v>Observed-data calibration/validation; Scenario/policy/reference comparison</x:v>
      </x:c>
      <x:c r="P46" s="22" t="str">
        <x:v>No</x:v>
      </x:c>
      <x:c r="Q46" s="22" t="n">
        <x:v>13</x:v>
      </x:c>
      <x:c r="R46" s="22" t="str">
        <x:v>NR</x:v>
      </x:c>
      <x:c r="S46" s="22" t="str">
        <x:v>NR</x:v>
      </x:c>
      <x:c r="T46" s="22" t="str">
        <x:v>Agent-based spatial models applied to agriculture: a simulation tool for technology diffusion, resource use changes and policy analysis</x:v>
      </x:c>
    </x:row>
    <x:row r="47">
      <x:c r="A47" s="22" t="str">
        <x:v>S44</x:v>
      </x:c>
      <x:c r="B47" s="22" t="str">
        <x:v>SF44</x:v>
      </x:c>
      <x:c r="C47" s="22" t="n">
        <x:v>2003</x:v>
      </x:c>
      <x:c r="D47" s="22" t="str">
        <x:v>Irrigation / water management</x:v>
      </x:c>
      <x:c r="E47" s="22" t="str">
        <x:v>Trading / collective governance</x:v>
      </x:c>
      <x:c r="F47" s="22" t="str">
        <x:v>Decentralised</x:v>
      </x:c>
      <x:c r="G47" s="22" t="str">
        <x:v>Farmer / producer; Biophysical representation</x:v>
      </x:c>
      <x:c r="H47" s="22" t="str">
        <x:v>Rule-based</x:v>
      </x:c>
      <x:c r="I47" s="22" t="str">
        <x:v>Direct negotiation / agreements; Peer diffusion / exchange; Environment / shared-resource mediated</x:v>
      </x:c>
      <x:c r="J47" s="22" t="str">
        <x:v>Integrated-system</x:v>
      </x:c>
      <x:c r="K47" s="22" t="str">
        <x:v>Simulation</x:v>
      </x:c>
      <x:c r="L47" s="22" t="str">
        <x:v>Direct</x:v>
      </x:c>
      <x:c r="M47" s="22" t="str">
        <x:v>Yes</x:v>
      </x:c>
      <x:c r="N47" s="22" t="str">
        <x:v>Mixed / trade-off / scenario-dependent</x:v>
      </x:c>
      <x:c r="O47" s="22" t="str">
        <x:v>Observed-data calibration/validation; Scenario/policy/reference comparison</x:v>
      </x:c>
      <x:c r="P47" s="22" t="str">
        <x:v>No</x:v>
      </x:c>
      <x:c r="Q47" s="22" t="n">
        <x:v>13</x:v>
      </x:c>
      <x:c r="R47" s="22" t="str">
        <x:v>NR</x:v>
      </x:c>
      <x:c r="S47" s="22" t="str">
        <x:v>NR</x:v>
      </x:c>
      <x:c r="T47" s="22" t="str">
        <x:v>SINUSE: A multi-agent model to negotiate water demand management on a free access water table</x:v>
      </x:c>
    </x:row>
    <x:row r="48">
      <x:c r="A48" s="22" t="str">
        <x:v>S45</x:v>
      </x:c>
      <x:c r="B48" s="22" t="str">
        <x:v>SF45</x:v>
      </x:c>
      <x:c r="C48" s="22" t="n">
        <x:v>2003</x:v>
      </x:c>
      <x:c r="D48" s="22" t="str">
        <x:v>Irrigation / water management</x:v>
      </x:c>
      <x:c r="E48" s="22" t="str">
        <x:v>Trading / collective governance</x:v>
      </x:c>
      <x:c r="F48" s="22" t="str">
        <x:v>Hierarchical</x:v>
      </x:c>
      <x:c r="G48" s="22" t="str">
        <x:v>Farmer / producer; Manager / regulator; Biophysical representation</x:v>
      </x:c>
      <x:c r="H48" s="22" t="str">
        <x:v>Rule-based; Utility / economic</x:v>
      </x:c>
      <x:c r="I48" s="22" t="str">
        <x:v>Hierarchical / supervisory; Direct negotiation / agreements; Environment / shared-resource mediated</x:v>
      </x:c>
      <x:c r="J48" s="22" t="str">
        <x:v>Integrated-system</x:v>
      </x:c>
      <x:c r="K48" s="22" t="str">
        <x:v>Simulation</x:v>
      </x:c>
      <x:c r="L48" s="22" t="str">
        <x:v>Direct</x:v>
      </x:c>
      <x:c r="M48" s="22" t="str">
        <x:v>Yes</x:v>
      </x:c>
      <x:c r="N48" s="22" t="str">
        <x:v>Mixed / trade-off / scenario-dependent</x:v>
      </x:c>
      <x:c r="O48" s="22" t="str">
        <x:v>Observed-data calibration/validation; Scenario/policy/reference comparison</x:v>
      </x:c>
      <x:c r="P48" s="22" t="str">
        <x:v>No</x:v>
      </x:c>
      <x:c r="Q48" s="22" t="n">
        <x:v>13</x:v>
      </x:c>
      <x:c r="R48" s="22" t="str">
        <x:v>NR</x:v>
      </x:c>
      <x:c r="S48" s="22" t="str">
        <x:v>NR</x:v>
      </x:c>
      <x:c r="T48" s="22" t="str">
        <x:v>Agent based simulation of a small catchment water management in northern Thailand: Description of the CATCHSCAPE model</x:v>
      </x:c>
    </x:row>
    <x:row r="49">
      <x:c r="A49" s="22" t="str">
        <x:v>S46</x:v>
      </x:c>
      <x:c r="B49" s="22" t="str">
        <x:v>SF46</x:v>
      </x:c>
      <x:c r="C49" s="22" t="n">
        <x:v>2004</x:v>
      </x:c>
      <x:c r="D49" s="22" t="str">
        <x:v>Irrigation / water management</x:v>
      </x:c>
      <x:c r="E49" s="22" t="str">
        <x:v>Trading / collective governance</x:v>
      </x:c>
      <x:c r="F49" s="22" t="str">
        <x:v>Hierarchical</x:v>
      </x:c>
      <x:c r="G49" s="22" t="str">
        <x:v>Farmer / producer; Manager / regulator; Biophysical representation</x:v>
      </x:c>
      <x:c r="H49" s="22" t="str">
        <x:v>Rule-based</x:v>
      </x:c>
      <x:c r="I49" s="22" t="str">
        <x:v>Hierarchical / supervisory; Peer diffusion / exchange; Environment / shared-resource mediated</x:v>
      </x:c>
      <x:c r="J49" s="22" t="str">
        <x:v>Integrated-system</x:v>
      </x:c>
      <x:c r="K49" s="22" t="str">
        <x:v>Simulation</x:v>
      </x:c>
      <x:c r="L49" s="22" t="str">
        <x:v>Direct</x:v>
      </x:c>
      <x:c r="M49" s="22" t="str">
        <x:v>Yes</x:v>
      </x:c>
      <x:c r="N49" s="22" t="str">
        <x:v>Mixed / trade-off / scenario-dependent</x:v>
      </x:c>
      <x:c r="O49" s="22" t="str">
        <x:v>Scenario/policy/reference comparison</x:v>
      </x:c>
      <x:c r="P49" s="22" t="str">
        <x:v>No</x:v>
      </x:c>
      <x:c r="Q49" s="22" t="n">
        <x:v>13</x:v>
      </x:c>
      <x:c r="R49" s="22" t="str">
        <x:v>NR</x:v>
      </x:c>
      <x:c r="S49" s="22" t="str">
        <x:v>NR</x:v>
      </x:c>
      <x:c r="T49" s="22" t="str">
        <x:v>Suitability of Multi-Agent Simulations to study irrigated system viability: application to case studies in the Senegal River Valley</x:v>
      </x:c>
    </x:row>
    <x:row r="50">
      <x:c r="A50" s="22" t="str">
        <x:v>S47</x:v>
      </x:c>
      <x:c r="B50" s="22" t="str">
        <x:v>SF47</x:v>
      </x:c>
      <x:c r="C50" s="22" t="n">
        <x:v>2007</x:v>
      </x:c>
      <x:c r="D50" s="22" t="str">
        <x:v>Soil / nutrient / environmental management</x:v>
      </x:c>
      <x:c r="E50" s="22" t="str">
        <x:v>Policy / socio-ecological assessment</x:v>
      </x:c>
      <x:c r="F50" s="22" t="str">
        <x:v>Decentralised</x:v>
      </x:c>
      <x:c r="G50" s="22" t="str">
        <x:v>Farmer / producer</x:v>
      </x:c>
      <x:c r="H50" s="22" t="str">
        <x:v>Utility / economic; Rule-based</x:v>
      </x:c>
      <x:c r="I50" s="22" t="str">
        <x:v>Peer diffusion / exchange</x:v>
      </x:c>
      <x:c r="J50" s="22" t="str">
        <x:v>Integrated-system</x:v>
      </x:c>
      <x:c r="K50" s="22" t="str">
        <x:v>Simulation</x:v>
      </x:c>
      <x:c r="L50" s="22" t="str">
        <x:v>Direct</x:v>
      </x:c>
      <x:c r="M50" s="22" t="str">
        <x:v>Yes</x:v>
      </x:c>
      <x:c r="N50" s="22" t="str">
        <x:v>Favourable (conditional/simulated)</x:v>
      </x:c>
      <x:c r="O50" s="22" t="str">
        <x:v>Observed-data calibration/validation; Scenario/policy/reference comparison</x:v>
      </x:c>
      <x:c r="P50" s="22" t="str">
        <x:v>No</x:v>
      </x:c>
      <x:c r="Q50" s="22" t="n">
        <x:v>14</x:v>
      </x:c>
      <x:c r="R50" s="22" t="str">
        <x:v>Yes</x:v>
      </x:c>
      <x:c r="S50" s="22" t="str">
        <x:v>NR</x:v>
      </x:c>
      <x:c r="T50" s="22" t="str">
        <x:v>Simulating soil fertility and poverty dynamics in Uganda: A bio-economic multi-agent systems approach</x:v>
      </x:c>
    </x:row>
    <x:row r="51">
      <x:c r="A51" s="22" t="str">
        <x:v>S48</x:v>
      </x:c>
      <x:c r="B51" s="22" t="str">
        <x:v>SF48</x:v>
      </x:c>
      <x:c r="C51" s="22" t="n">
        <x:v>2025</x:v>
      </x:c>
      <x:c r="D51" s="22" t="str">
        <x:v>Irrigation / water management</x:v>
      </x:c>
      <x:c r="E51" s="22" t="str">
        <x:v>Operational allocation / control</x:v>
      </x:c>
      <x:c r="F51" s="22" t="str">
        <x:v>Hybrid</x:v>
      </x:c>
      <x:c r="G51" s="22" t="str">
        <x:v>Farmer / producer; Manager / regulator</x:v>
      </x:c>
      <x:c r="H51" s="22" t="str">
        <x:v>Utility / economic; Rule-based</x:v>
      </x:c>
      <x:c r="I51" s="22" t="str">
        <x:v>Hierarchical / supervisory; Optimisation / scheduling</x:v>
      </x:c>
      <x:c r="J51" s="22" t="str">
        <x:v>Integrated-system</x:v>
      </x:c>
      <x:c r="K51" s="22" t="str">
        <x:v>Simulation</x:v>
      </x:c>
      <x:c r="L51" s="22" t="str">
        <x:v>Direct</x:v>
      </x:c>
      <x:c r="M51" s="22" t="str">
        <x:v>Yes</x:v>
      </x:c>
      <x:c r="N51" s="22" t="str">
        <x:v>Mixed / trade-off / scenario-dependent</x:v>
      </x:c>
      <x:c r="O51" s="22" t="str">
        <x:v>Scenario/policy/reference comparison</x:v>
      </x:c>
      <x:c r="P51" s="22" t="str">
        <x:v>No</x:v>
      </x:c>
      <x:c r="Q51" s="22" t="n">
        <x:v>14</x:v>
      </x:c>
      <x:c r="R51" s="22" t="str">
        <x:v>NR</x:v>
      </x:c>
      <x:c r="S51" s="22" t="str">
        <x:v>Yes</x:v>
      </x:c>
      <x:c r="T51" s="22" t="str">
        <x:v>An adaptive multi-agent model for water allocation under scarcity: application of bankruptcy methods</x:v>
      </x:c>
    </x:row>
    <x:row r="52">
      <x:c r="A52" s="22" t="str">
        <x:v>S49</x:v>
      </x:c>
      <x:c r="B52" s="22" t="str">
        <x:v>SF49</x:v>
      </x:c>
      <x:c r="C52" s="22" t="n">
        <x:v>2022</x:v>
      </x:c>
      <x:c r="D52" s="22" t="str">
        <x:v>Irrigation / water management</x:v>
      </x:c>
      <x:c r="E52" s="22" t="str">
        <x:v>Operational allocation / control</x:v>
      </x:c>
      <x:c r="F52" s="22" t="str">
        <x:v>Centralised</x:v>
      </x:c>
      <x:c r="G52" s="22" t="str">
        <x:v>Operational / robot; Manager / regulator</x:v>
      </x:c>
      <x:c r="H52" s="22" t="str">
        <x:v>NR</x:v>
      </x:c>
      <x:c r="I52" s="22" t="str">
        <x:v>Hierarchical / supervisory; Optimisation / scheduling</x:v>
      </x:c>
      <x:c r="J52" s="22" t="str">
        <x:v>Single-domain</x:v>
      </x:c>
      <x:c r="K52" s="22" t="str">
        <x:v>Simulation</x:v>
      </x:c>
      <x:c r="L52" s="22" t="str">
        <x:v>Direct</x:v>
      </x:c>
      <x:c r="M52" s="22" t="str">
        <x:v>Yes</x:v>
      </x:c>
      <x:c r="N52" s="22" t="str">
        <x:v>Favourable (conditional/simulated)</x:v>
      </x:c>
      <x:c r="O52" s="22" t="str">
        <x:v>Algorithmic/method baseline</x:v>
      </x:c>
      <x:c r="P52" s="22" t="str">
        <x:v>No</x:v>
      </x:c>
      <x:c r="Q52" s="22" t="n">
        <x:v>13</x:v>
      </x:c>
      <x:c r="R52" s="22" t="str">
        <x:v>NR</x:v>
      </x:c>
      <x:c r="S52" s="22" t="str">
        <x:v>Yes</x:v>
      </x:c>
      <x:c r="T52" s="22" t="str">
        <x:v>Optimal Irrigation Allocation for Large-Scale Arable Farming</x:v>
      </x:c>
    </x:row>
    <x:row r="53">
      <x:c r="A53" s="22" t="str">
        <x:v>S50</x:v>
      </x:c>
      <x:c r="B53" s="22" t="str">
        <x:v>SF50</x:v>
      </x:c>
      <x:c r="C53" s="22" t="n">
        <x:v>2023</x:v>
      </x:c>
      <x:c r="D53" s="22" t="str">
        <x:v>Workforce / robotics / task allocation</x:v>
      </x:c>
      <x:c r="E53" s="22" t="str">
        <x:v>Operational allocation / control</x:v>
      </x:c>
      <x:c r="F53" s="22" t="str">
        <x:v>Centralised</x:v>
      </x:c>
      <x:c r="G53" s="22" t="str">
        <x:v>Operational / robot; Manager / regulator</x:v>
      </x:c>
      <x:c r="H53" s="22" t="str">
        <x:v>NR</x:v>
      </x:c>
      <x:c r="I53" s="22" t="str">
        <x:v>Hierarchical / supervisory; Optimisation / scheduling</x:v>
      </x:c>
      <x:c r="J53" s="22" t="str">
        <x:v>Single-domain</x:v>
      </x:c>
      <x:c r="K53" s="22" t="str">
        <x:v>Simulation</x:v>
      </x:c>
      <x:c r="L53" s="22" t="str">
        <x:v>Indirect</x:v>
      </x:c>
      <x:c r="M53" s="22" t="str">
        <x:v>Yes</x:v>
      </x:c>
      <x:c r="N53" s="22" t="str">
        <x:v>Favourable (conditional/simulated)</x:v>
      </x:c>
      <x:c r="O53" s="22" t="str">
        <x:v>Algorithmic/method baseline</x:v>
      </x:c>
      <x:c r="P53" s="22" t="str">
        <x:v>No</x:v>
      </x:c>
      <x:c r="Q53" s="22" t="n">
        <x:v>12</x:v>
      </x:c>
      <x:c r="R53" s="22" t="str">
        <x:v>NR</x:v>
      </x:c>
      <x:c r="S53" s="22" t="str">
        <x:v>Yes</x:v>
      </x:c>
      <x:c r="T53" s="22" t="str">
        <x:v>Multi-Robot Task Allocation in Agriculture Scenarios Based on the Improved NSGA-II Algorithm</x:v>
      </x:c>
    </x:row>
    <x:row r="54">
      <x:c r="A54" s="22" t="str">
        <x:v>S51</x:v>
      </x:c>
      <x:c r="B54" s="22" t="str">
        <x:v>SF51</x:v>
      </x:c>
      <x:c r="C54" s="22" t="n">
        <x:v>2021</x:v>
      </x:c>
      <x:c r="D54" s="22" t="str">
        <x:v>Livestock / integrated farming</x:v>
      </x:c>
      <x:c r="E54" s="22" t="str">
        <x:v>Trading / collective governance</x:v>
      </x:c>
      <x:c r="F54" s="22" t="str">
        <x:v>Decentralised</x:v>
      </x:c>
      <x:c r="G54" s="22" t="str">
        <x:v>Farmer / producer; Biophysical representation; Market / trader</x:v>
      </x:c>
      <x:c r="H54" s="22" t="str">
        <x:v>Rule-based</x:v>
      </x:c>
      <x:c r="I54" s="22" t="str">
        <x:v>Direct negotiation / agreements; Auction / market</x:v>
      </x:c>
      <x:c r="J54" s="22" t="str">
        <x:v>Multi-domain</x:v>
      </x:c>
      <x:c r="K54" s="22" t="str">
        <x:v>Simulation</x:v>
      </x:c>
      <x:c r="L54" s="22" t="str">
        <x:v>Direct</x:v>
      </x:c>
      <x:c r="M54" s="22" t="str">
        <x:v>Yes</x:v>
      </x:c>
      <x:c r="N54" s="22" t="str">
        <x:v>Mixed / trade-off / scenario-dependent</x:v>
      </x:c>
      <x:c r="O54" s="22" t="str">
        <x:v>Operational/heuristic counterfactual; Scenario/policy/reference comparison</x:v>
      </x:c>
      <x:c r="P54" s="22" t="str">
        <x:v>No</x:v>
      </x:c>
      <x:c r="Q54" s="22" t="n">
        <x:v>14</x:v>
      </x:c>
      <x:c r="R54" s="22" t="str">
        <x:v>NR</x:v>
      </x:c>
      <x:c r="S54" s="22" t="str">
        <x:v>Yes</x:v>
      </x:c>
      <x:c r="T54" s="22" t="str">
        <x:v>Fostering local crop-livestock integration via legume exchanges using an innovative integrated assessment and modelling approach based on the MAELIA platform</x:v>
      </x:c>
    </x:row>
    <x:row r="55">
      <x:c r="A55" s="22" t="str">
        <x:v>S52</x:v>
      </x:c>
      <x:c r="B55" s="22" t="str">
        <x:v>SF42</x:v>
      </x:c>
      <x:c r="C55" s="22" t="n">
        <x:v>2024</x:v>
      </x:c>
      <x:c r="D55" s="22" t="str">
        <x:v>Energy / WEF nexus</x:v>
      </x:c>
      <x:c r="E55" s="22" t="str">
        <x:v>Policy / socio-ecological assessment</x:v>
      </x:c>
      <x:c r="F55" s="22" t="str">
        <x:v>Hierarchical</x:v>
      </x:c>
      <x:c r="G55" s="22" t="str">
        <x:v>Farmer / producer; Manager / regulator; Biophysical representation</x:v>
      </x:c>
      <x:c r="H55" s="22" t="str">
        <x:v>Rule-based</x:v>
      </x:c>
      <x:c r="I55" s="22" t="str">
        <x:v>Hierarchical / supervisory; Environment / shared-resource mediated; Optimisation / scheduling</x:v>
      </x:c>
      <x:c r="J55" s="22" t="str">
        <x:v>Integrated-system</x:v>
      </x:c>
      <x:c r="K55" s="22" t="str">
        <x:v>Simulation</x:v>
      </x:c>
      <x:c r="L55" s="22" t="str">
        <x:v>Direct</x:v>
      </x:c>
      <x:c r="M55" s="22" t="str">
        <x:v>Yes</x:v>
      </x:c>
      <x:c r="N55" s="22" t="str">
        <x:v>Mixed / trade-off / scenario-dependent</x:v>
      </x:c>
      <x:c r="O55" s="22" t="str">
        <x:v>Scenario/policy/reference comparison</x:v>
      </x:c>
      <x:c r="P55" s="22" t="str">
        <x:v>No</x:v>
      </x:c>
      <x:c r="Q55" s="22" t="n">
        <x:v>13</x:v>
      </x:c>
      <x:c r="R55" s="22" t="str">
        <x:v>NR</x:v>
      </x:c>
      <x:c r="S55" s="22" t="str">
        <x:v>No</x:v>
      </x:c>
      <x:c r="T55" s="22" t="str">
        <x:v>Multi-actor approach to manage the water-energy-food nexus at territory scale</x:v>
      </x:c>
    </x:row>
    <x:row r="56">
      <x:c r="A56" s="22" t="str">
        <x:v>S53</x:v>
      </x:c>
      <x:c r="B56" s="22" t="str">
        <x:v>SF49</x:v>
      </x:c>
      <x:c r="C56" s="22" t="n">
        <x:v>2019</x:v>
      </x:c>
      <x:c r="D56" s="22" t="str">
        <x:v>Irrigation / water management</x:v>
      </x:c>
      <x:c r="E56" s="22" t="str">
        <x:v>Operational allocation / control</x:v>
      </x:c>
      <x:c r="F56" s="22" t="str">
        <x:v>Centralised</x:v>
      </x:c>
      <x:c r="G56" s="22" t="str">
        <x:v>Operational / robot; Manager / regulator</x:v>
      </x:c>
      <x:c r="H56" s="22" t="str">
        <x:v>NR</x:v>
      </x:c>
      <x:c r="I56" s="22" t="str">
        <x:v>Hierarchical / supervisory; Optimisation / scheduling</x:v>
      </x:c>
      <x:c r="J56" s="22" t="str">
        <x:v>Single-domain</x:v>
      </x:c>
      <x:c r="K56" s="22" t="str">
        <x:v>Simulation</x:v>
      </x:c>
      <x:c r="L56" s="22" t="str">
        <x:v>Direct</x:v>
      </x:c>
      <x:c r="M56" s="22" t="str">
        <x:v>Yes</x:v>
      </x:c>
      <x:c r="N56" s="22" t="str">
        <x:v>Favourable (conditional/simulated)</x:v>
      </x:c>
      <x:c r="O56" s="22" t="str">
        <x:v>Algorithmic/method baseline</x:v>
      </x:c>
      <x:c r="P56" s="22" t="str">
        <x:v>No</x:v>
      </x:c>
      <x:c r="Q56" s="22" t="n">
        <x:v>13</x:v>
      </x:c>
      <x:c r="R56" s="22" t="str">
        <x:v>NR</x:v>
      </x:c>
      <x:c r="S56" s="22" t="str">
        <x:v>Yes</x:v>
      </x:c>
      <x:c r="T56" s="22" t="str">
        <x:v>Optimal irrigation management for large-scale arable farming using model predictive control</x:v>
      </x:c>
    </x:row>
  </x:sheetData>
  <x:mergeCells>
    <x:mergeCell ref="A1:T1"/>
  </x:mergeCells>
  <x:pageMargins left="0.7" right="0.7" top="0.75" bottom="0.75" header="0.3" footer="0.3"/>
  <x:tableParts count="1">
    <x:tablePart xmlns:r="http://schemas.openxmlformats.org/officeDocument/2006/relationships" r:id="Rd5395e8a13094d91"/>
  </x:tableParts>
</x:worksheet>
</file>

<file path=xl/worksheets/sheet4.xml><?xml version="1.0" encoding="utf-8"?>
<x:worksheet xmlns:x="http://schemas.openxmlformats.org/spreadsheetml/2006/main">
  <x:sheetViews>
    <x:sheetView workbookViewId="0">
      <x:pane xSplit="2" ySplit="3" topLeftCell="C4" activePane="bottomRight" state="frozen"/>
    </x:sheetView>
  </x:sheetViews>
  <x:sheetFormatPr defaultRowHeight="15"/>
  <x:cols>
    <x:col min="1" max="1" width="10" hidden="0" customWidth="1"/>
    <x:col min="2" max="2" width="18" hidden="0" customWidth="1"/>
    <x:col min="3" max="3" width="12" hidden="0" customWidth="1"/>
    <x:col min="4" max="4" width="13" hidden="0" customWidth="1"/>
    <x:col min="5" max="5" width="34" hidden="0" customWidth="1"/>
    <x:col min="6" max="6" width="42" hidden="0" customWidth="1"/>
    <x:col min="7" max="7" width="26" hidden="0" customWidth="1"/>
    <x:col min="8" max="8" width="62" hidden="0" customWidth="1"/>
    <x:col min="9" max="9" width="36" hidden="0" customWidth="1"/>
    <x:col min="10" max="10" width="64" hidden="0" customWidth="1"/>
    <x:col min="11" max="11" width="25" hidden="0" customWidth="1"/>
    <x:col min="12" max="12" width="22" hidden="0" customWidth="1"/>
    <x:col min="13" max="13" width="22" hidden="0" customWidth="1"/>
    <x:col min="14" max="14" width="46" hidden="0" customWidth="1"/>
    <x:col min="15" max="15" width="20" hidden="0" customWidth="1"/>
    <x:col min="16" max="16" width="12" hidden="0" customWidth="1"/>
  </x:cols>
  <x:sheetData>
    <x:row r="1" ht="28" customHeight="1">
      <x:c r="A1" s="5" t="str">
        <x:v>44-Study-Family Evidence Map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3">
      <x:c r="A3" s="14" t="str">
        <x:v>Family ID</x:v>
      </x:c>
      <x:c r="B3" s="14" t="str">
        <x:v>Study IDs</x:v>
      </x:c>
      <x:c r="C3" s="14" t="str">
        <x:v>n publications</x:v>
      </x:c>
      <x:c r="D3" s="14" t="str">
        <x:v>Year range</x:v>
      </x:c>
      <x:c r="E3" s="14" t="str">
        <x:v>Primary domain(s)</x:v>
      </x:c>
      <x:c r="F3" s="14" t="str">
        <x:v>Primary purpose(s)</x:v>
      </x:c>
      <x:c r="G3" s="14" t="str">
        <x:v>Architecture(s)</x:v>
      </x:c>
      <x:c r="H3" s="14" t="str">
        <x:v>Agent roles</x:v>
      </x:c>
      <x:c r="I3" s="14" t="str">
        <x:v>Decision paradigms</x:v>
      </x:c>
      <x:c r="J3" s="14" t="str">
        <x:v>Coordination mechanisms</x:v>
      </x:c>
      <x:c r="K3" s="14" t="str">
        <x:v>Integration scope</x:v>
      </x:c>
      <x:c r="L3" s="14" t="str">
        <x:v>Maturity</x:v>
      </x:c>
      <x:c r="M3" s="14" t="str">
        <x:v>Sustainability</x:v>
      </x:c>
      <x:c r="N3" s="14" t="str">
        <x:v>RQ3 outcome direction</x:v>
      </x:c>
      <x:c r="O3" s="14" t="str">
        <x:v>Deployment</x:v>
      </x:c>
      <x:c r="P3" s="14" t="str">
        <x:v>Mean QA /14</x:v>
      </x:c>
    </x:row>
    <x:row r="4">
      <x:c r="A4" s="22" t="str">
        <x:v>SF01</x:v>
      </x:c>
      <x:c r="B4" s="22" t="str">
        <x:v>S01</x:v>
      </x:c>
      <x:c r="C4" s="22" t="n">
        <x:v>1</x:v>
      </x:c>
      <x:c r="D4" s="22" t="str">
        <x:v>2018</x:v>
      </x:c>
      <x:c r="E4" s="22" t="str">
        <x:v>Livestock / integrated farming</x:v>
      </x:c>
      <x:c r="F4" s="22" t="str">
        <x:v>Policy / socio-ecological assessment</x:v>
      </x:c>
      <x:c r="G4" s="22" t="str">
        <x:v>Decentralised</x:v>
      </x:c>
      <x:c r="H4" s="22" t="str">
        <x:v>Farmer / producer</x:v>
      </x:c>
      <x:c r="I4" s="22" t="str">
        <x:v>Rule-based</x:v>
      </x:c>
      <x:c r="J4" s="22" t="str">
        <x:v>Environment / shared-resource mediated</x:v>
      </x:c>
      <x:c r="K4" s="22" t="str">
        <x:v>Integrated-system</x:v>
      </x:c>
      <x:c r="L4" s="22" t="str">
        <x:v>Simulation</x:v>
      </x:c>
      <x:c r="M4" s="22" t="str">
        <x:v>Direct</x:v>
      </x:c>
      <x:c r="N4" s="22" t="str">
        <x:v>Descriptive / feasibility / no directional conclusion</x:v>
      </x:c>
      <x:c r="O4" s="22" t="str">
        <x:v>No</x:v>
      </x:c>
      <x:c r="P4" s="28" t="n">
        <x:v>13</x:v>
      </x:c>
    </x:row>
    <x:row r="5">
      <x:c r="A5" s="22" t="str">
        <x:v>SF02</x:v>
      </x:c>
      <x:c r="B5" s="22" t="str">
        <x:v>S02</x:v>
      </x:c>
      <x:c r="C5" s="22" t="n">
        <x:v>1</x:v>
      </x:c>
      <x:c r="D5" s="22" t="str">
        <x:v>2019</x:v>
      </x:c>
      <x:c r="E5" s="22" t="str">
        <x:v>Crop / farm management</x:v>
      </x:c>
      <x:c r="F5" s="22" t="str">
        <x:v>Operational allocation / control</x:v>
      </x:c>
      <x:c r="G5" s="22" t="str">
        <x:v>Hybrid</x:v>
      </x:c>
      <x:c r="H5" s="22" t="str">
        <x:v>Biophysical representation; Manager / regulator; Operational / robot; Specialist / advisory</x:v>
      </x:c>
      <x:c r="I5" s="22" t="str">
        <x:v>Rule-based; Utility / economic</x:v>
      </x:c>
      <x:c r="J5" s="22" t="str">
        <x:v>Direct negotiation / agreements; Hierarchical / supervisory; Optimisation / scheduling</x:v>
      </x:c>
      <x:c r="K5" s="22" t="str">
        <x:v>Integrated-system</x:v>
      </x:c>
      <x:c r="L5" s="22" t="str">
        <x:v>Field pilot</x:v>
      </x:c>
      <x:c r="M5" s="22" t="str">
        <x:v>Indirect</x:v>
      </x:c>
      <x:c r="N5" s="22" t="str">
        <x:v>Favourable (conditional/simulated)</x:v>
      </x:c>
      <x:c r="O5" s="22" t="str">
        <x:v>Yes</x:v>
      </x:c>
      <x:c r="P5" s="28" t="n">
        <x:v>9</x:v>
      </x:c>
    </x:row>
    <x:row r="6">
      <x:c r="A6" s="22" t="str">
        <x:v>SF03</x:v>
      </x:c>
      <x:c r="B6" s="22" t="str">
        <x:v>S03</x:v>
      </x:c>
      <x:c r="C6" s="22" t="n">
        <x:v>1</x:v>
      </x:c>
      <x:c r="D6" s="22" t="str">
        <x:v>2023</x:v>
      </x:c>
      <x:c r="E6" s="22" t="str">
        <x:v>Crop / farm management</x:v>
      </x:c>
      <x:c r="F6" s="22" t="str">
        <x:v>Policy / socio-ecological assessment</x:v>
      </x:c>
      <x:c r="G6" s="22" t="str">
        <x:v>Decentralised</x:v>
      </x:c>
      <x:c r="H6" s="22" t="str">
        <x:v>Farmer / producer; Market / trader</x:v>
      </x:c>
      <x:c r="I6" s="22" t="str">
        <x:v>Rule-based; Utility / economic</x:v>
      </x:c>
      <x:c r="J6" s="22" t="str">
        <x:v>Auction / market; Environment / shared-resource mediated</x:v>
      </x:c>
      <x:c r="K6" s="22" t="str">
        <x:v>Integrated-system</x:v>
      </x:c>
      <x:c r="L6" s="22" t="str">
        <x:v>Simulation</x:v>
      </x:c>
      <x:c r="M6" s="22" t="str">
        <x:v>Indirect</x:v>
      </x:c>
      <x:c r="N6" s="22" t="str">
        <x:v>Mixed / trade-off / scenario-dependent</x:v>
      </x:c>
      <x:c r="O6" s="22" t="str">
        <x:v>No</x:v>
      </x:c>
      <x:c r="P6" s="28" t="n">
        <x:v>14</x:v>
      </x:c>
    </x:row>
    <x:row r="7">
      <x:c r="A7" s="22" t="str">
        <x:v>SF04</x:v>
      </x:c>
      <x:c r="B7" s="22" t="str">
        <x:v>S04</x:v>
      </x:c>
      <x:c r="C7" s="22" t="n">
        <x:v>1</x:v>
      </x:c>
      <x:c r="D7" s="22" t="str">
        <x:v>2026</x:v>
      </x:c>
      <x:c r="E7" s="22" t="str">
        <x:v>Livestock / integrated farming</x:v>
      </x:c>
      <x:c r="F7" s="22" t="str">
        <x:v>Decision support / monitoring</x:v>
      </x:c>
      <x:c r="G7" s="22" t="str">
        <x:v>Centralised</x:v>
      </x:c>
      <x:c r="H7" s="22" t="str">
        <x:v>Biophysical representation; Specialist / advisory</x:v>
      </x:c>
      <x:c r="I7" s="22" t="str">
        <x:v>LLM-based</x:v>
      </x:c>
      <x:c r="J7" s="22" t="str">
        <x:v>Hierarchical / supervisory</x:v>
      </x:c>
      <x:c r="K7" s="22" t="str">
        <x:v>Single-domain</x:v>
      </x:c>
      <x:c r="L7" s="22" t="str">
        <x:v>Prototype</x:v>
      </x:c>
      <x:c r="M7" s="22" t="str">
        <x:v>Not addressed</x:v>
      </x:c>
      <x:c r="N7" s="22" t="str">
        <x:v>No direct agricultural outcome evaluated</x:v>
      </x:c>
      <x:c r="O7" s="22" t="str">
        <x:v>No</x:v>
      </x:c>
      <x:c r="P7" s="28" t="n">
        <x:v>14</x:v>
      </x:c>
    </x:row>
    <x:row r="8">
      <x:c r="A8" s="22" t="str">
        <x:v>SF05</x:v>
      </x:c>
      <x:c r="B8" s="22" t="str">
        <x:v>S05; S11; S29</x:v>
      </x:c>
      <x:c r="C8" s="22" t="n">
        <x:v>3</x:v>
      </x:c>
      <x:c r="D8" s="22" t="str">
        <x:v>2024–2026</x:v>
      </x:c>
      <x:c r="E8" s="22" t="str">
        <x:v>Energy / WEF nexus</x:v>
      </x:c>
      <x:c r="F8" s="22" t="str">
        <x:v>Trading / collective governance</x:v>
      </x:c>
      <x:c r="G8" s="22" t="str">
        <x:v>Hybrid</x:v>
      </x:c>
      <x:c r="H8" s="22" t="str">
        <x:v>Farmer / producer; Market / trader; Specialist / advisory</x:v>
      </x:c>
      <x:c r="I8" s="22" t="str">
        <x:v>Learning-based; Rule-based</x:v>
      </x:c>
      <x:c r="J8" s="22" t="str">
        <x:v>Auction / market; Hierarchical / supervisory; Learning / MARL</x:v>
      </x:c>
      <x:c r="K8" s="22" t="str">
        <x:v>Single-domain</x:v>
      </x:c>
      <x:c r="L8" s="22" t="str">
        <x:v>Simulation</x:v>
      </x:c>
      <x:c r="M8" s="22" t="str">
        <x:v>Direct; Indirect</x:v>
      </x:c>
      <x:c r="N8" s="22" t="str">
        <x:v>Favourable (conditional/simulated)</x:v>
      </x:c>
      <x:c r="O8" s="22" t="str">
        <x:v>No</x:v>
      </x:c>
      <x:c r="P8" s="28" t="n">
        <x:v>13.33</x:v>
      </x:c>
    </x:row>
    <x:row r="9">
      <x:c r="A9" s="22" t="str">
        <x:v>SF06</x:v>
      </x:c>
      <x:c r="B9" s="22" t="str">
        <x:v>S06</x:v>
      </x:c>
      <x:c r="C9" s="22" t="n">
        <x:v>1</x:v>
      </x:c>
      <x:c r="D9" s="22" t="str">
        <x:v>2022</x:v>
      </x:c>
      <x:c r="E9" s="22" t="str">
        <x:v>Irrigation / water management</x:v>
      </x:c>
      <x:c r="F9" s="22" t="str">
        <x:v>Operational allocation / control</x:v>
      </x:c>
      <x:c r="G9" s="22" t="str">
        <x:v>Hierarchical</x:v>
      </x:c>
      <x:c r="H9" s="22" t="str">
        <x:v>Manager / regulator; Operational / robot; Specialist / advisory</x:v>
      </x:c>
      <x:c r="I9" s="22" t="str">
        <x:v>Rule-based; Utility / economic</x:v>
      </x:c>
      <x:c r="J9" s="22" t="str">
        <x:v>Direct negotiation / agreements; Hierarchical / supervisory</x:v>
      </x:c>
      <x:c r="K9" s="22" t="str">
        <x:v>Single-domain</x:v>
      </x:c>
      <x:c r="L9" s="22" t="str">
        <x:v>Field pilot</x:v>
      </x:c>
      <x:c r="M9" s="22" t="str">
        <x:v>Direct</x:v>
      </x:c>
      <x:c r="N9" s="22" t="str">
        <x:v>Mixed / trade-off / scenario-dependent</x:v>
      </x:c>
      <x:c r="O9" s="22" t="str">
        <x:v>Partial</x:v>
      </x:c>
      <x:c r="P9" s="28" t="n">
        <x:v>14</x:v>
      </x:c>
    </x:row>
    <x:row r="10">
      <x:c r="A10" s="22" t="str">
        <x:v>SF07</x:v>
      </x:c>
      <x:c r="B10" s="22" t="str">
        <x:v>S07</x:v>
      </x:c>
      <x:c r="C10" s="22" t="n">
        <x:v>1</x:v>
      </x:c>
      <x:c r="D10" s="22" t="str">
        <x:v>2024</x:v>
      </x:c>
      <x:c r="E10" s="22" t="str">
        <x:v>Irrigation / water management</x:v>
      </x:c>
      <x:c r="F10" s="22" t="str">
        <x:v>Operational allocation / control</x:v>
      </x:c>
      <x:c r="G10" s="22" t="str">
        <x:v>Decentralised</x:v>
      </x:c>
      <x:c r="H10" s="22" t="str">
        <x:v>Operational / robot; Specialist / advisory</x:v>
      </x:c>
      <x:c r="I10" s="22" t="str">
        <x:v>Learning-based</x:v>
      </x:c>
      <x:c r="J10" s="22" t="str">
        <x:v>Learning / MARL; Optimisation / scheduling</x:v>
      </x:c>
      <x:c r="K10" s="22" t="str">
        <x:v>Single-domain</x:v>
      </x:c>
      <x:c r="L10" s="22" t="str">
        <x:v>Simulation</x:v>
      </x:c>
      <x:c r="M10" s="22" t="str">
        <x:v>Direct</x:v>
      </x:c>
      <x:c r="N10" s="22" t="str">
        <x:v>Favourable (conditional/simulated)</x:v>
      </x:c>
      <x:c r="O10" s="22" t="str">
        <x:v>No</x:v>
      </x:c>
      <x:c r="P10" s="28" t="n">
        <x:v>14</x:v>
      </x:c>
    </x:row>
    <x:row r="11">
      <x:c r="A11" s="22" t="str">
        <x:v>SF08</x:v>
      </x:c>
      <x:c r="B11" s="22" t="str">
        <x:v>S08; S23</x:v>
      </x:c>
      <x:c r="C11" s="22" t="n">
        <x:v>2</x:v>
      </x:c>
      <x:c r="D11" s="22" t="str">
        <x:v>2024–2025</x:v>
      </x:c>
      <x:c r="E11" s="22" t="str">
        <x:v>Irrigation / water management</x:v>
      </x:c>
      <x:c r="F11" s="22" t="str">
        <x:v>Operational allocation / control</x:v>
      </x:c>
      <x:c r="G11" s="22" t="str">
        <x:v>Hierarchical</x:v>
      </x:c>
      <x:c r="H11" s="22" t="str">
        <x:v>Manager / regulator; Operational / robot; Specialist / advisory</x:v>
      </x:c>
      <x:c r="I11" s="22" t="str">
        <x:v>Learning-based</x:v>
      </x:c>
      <x:c r="J11" s="22" t="str">
        <x:v>Hierarchical / supervisory; Learning / MARL</x:v>
      </x:c>
      <x:c r="K11" s="22" t="str">
        <x:v>Single-domain</x:v>
      </x:c>
      <x:c r="L11" s="22" t="str">
        <x:v>Simulation</x:v>
      </x:c>
      <x:c r="M11" s="22" t="str">
        <x:v>Direct</x:v>
      </x:c>
      <x:c r="N11" s="22" t="str">
        <x:v>Favourable (conditional/simulated)</x:v>
      </x:c>
      <x:c r="O11" s="22" t="str">
        <x:v>No</x:v>
      </x:c>
      <x:c r="P11" s="28" t="n">
        <x:v>13.5</x:v>
      </x:c>
    </x:row>
    <x:row r="12">
      <x:c r="A12" s="22" t="str">
        <x:v>SF09</x:v>
      </x:c>
      <x:c r="B12" s="22" t="str">
        <x:v>S09</x:v>
      </x:c>
      <x:c r="C12" s="22" t="n">
        <x:v>1</x:v>
      </x:c>
      <x:c r="D12" s="22" t="str">
        <x:v>2024</x:v>
      </x:c>
      <x:c r="E12" s="22" t="str">
        <x:v>Energy / WEF nexus</x:v>
      </x:c>
      <x:c r="F12" s="22" t="str">
        <x:v>Operational allocation / control</x:v>
      </x:c>
      <x:c r="G12" s="22" t="str">
        <x:v>Hybrid</x:v>
      </x:c>
      <x:c r="H12" s="22" t="str">
        <x:v>Farmer / producer; Specialist / advisory</x:v>
      </x:c>
      <x:c r="I12" s="22" t="str">
        <x:v>Learning-based</x:v>
      </x:c>
      <x:c r="J12" s="22" t="str">
        <x:v>Learning / MARL</x:v>
      </x:c>
      <x:c r="K12" s="22" t="str">
        <x:v>Single-domain</x:v>
      </x:c>
      <x:c r="L12" s="22" t="str">
        <x:v>Simulation</x:v>
      </x:c>
      <x:c r="M12" s="22" t="str">
        <x:v>Direct</x:v>
      </x:c>
      <x:c r="N12" s="22" t="str">
        <x:v>Favourable (conditional/simulated)</x:v>
      </x:c>
      <x:c r="O12" s="22" t="str">
        <x:v>No</x:v>
      </x:c>
      <x:c r="P12" s="28" t="n">
        <x:v>13</x:v>
      </x:c>
    </x:row>
    <x:row r="13">
      <x:c r="A13" s="22" t="str">
        <x:v>SF10</x:v>
      </x:c>
      <x:c r="B13" s="22" t="str">
        <x:v>S10</x:v>
      </x:c>
      <x:c r="C13" s="22" t="n">
        <x:v>1</x:v>
      </x:c>
      <x:c r="D13" s="22" t="str">
        <x:v>2011</x:v>
      </x:c>
      <x:c r="E13" s="22" t="str">
        <x:v>Livestock / integrated farming</x:v>
      </x:c>
      <x:c r="F13" s="22" t="str">
        <x:v>Policy / socio-ecological assessment</x:v>
      </x:c>
      <x:c r="G13" s="22" t="str">
        <x:v>Distributed</x:v>
      </x:c>
      <x:c r="H13" s="22" t="str">
        <x:v>Biophysical representation; Farmer / producer</x:v>
      </x:c>
      <x:c r="I13" s="22" t="str">
        <x:v>Rule-based</x:v>
      </x:c>
      <x:c r="J13" s="22" t="str">
        <x:v>Environment / shared-resource mediated</x:v>
      </x:c>
      <x:c r="K13" s="22" t="str">
        <x:v>Integrated-system</x:v>
      </x:c>
      <x:c r="L13" s="22" t="str">
        <x:v>Simulation</x:v>
      </x:c>
      <x:c r="M13" s="22" t="str">
        <x:v>Direct</x:v>
      </x:c>
      <x:c r="N13" s="22" t="str">
        <x:v>Mixed / trade-off / scenario-dependent</x:v>
      </x:c>
      <x:c r="O13" s="22" t="str">
        <x:v>No</x:v>
      </x:c>
      <x:c r="P13" s="28" t="n">
        <x:v>13</x:v>
      </x:c>
    </x:row>
    <x:row r="14">
      <x:c r="A14" s="22" t="str">
        <x:v>SF12</x:v>
      </x:c>
      <x:c r="B14" s="22" t="str">
        <x:v>S12</x:v>
      </x:c>
      <x:c r="C14" s="22" t="n">
        <x:v>1</x:v>
      </x:c>
      <x:c r="D14" s="22" t="str">
        <x:v>2023</x:v>
      </x:c>
      <x:c r="E14" s="22" t="str">
        <x:v>Soil / nutrient / environmental management</x:v>
      </x:c>
      <x:c r="F14" s="22" t="str">
        <x:v>Policy / socio-ecological assessment</x:v>
      </x:c>
      <x:c r="G14" s="22" t="str">
        <x:v>Decentralised</x:v>
      </x:c>
      <x:c r="H14" s="22" t="str">
        <x:v>Biophysical representation; Farmer / producer</x:v>
      </x:c>
      <x:c r="I14" s="22" t="str">
        <x:v>Other; Rule-based</x:v>
      </x:c>
      <x:c r="J14" s="22" t="str">
        <x:v>Environment / shared-resource mediated; Peer diffusion / exchange</x:v>
      </x:c>
      <x:c r="K14" s="22" t="str">
        <x:v>Integrated-system</x:v>
      </x:c>
      <x:c r="L14" s="22" t="str">
        <x:v>Simulation</x:v>
      </x:c>
      <x:c r="M14" s="22" t="str">
        <x:v>Direct</x:v>
      </x:c>
      <x:c r="N14" s="22" t="str">
        <x:v>Mixed / trade-off / scenario-dependent</x:v>
      </x:c>
      <x:c r="O14" s="22" t="str">
        <x:v>No</x:v>
      </x:c>
      <x:c r="P14" s="28" t="n">
        <x:v>13</x:v>
      </x:c>
    </x:row>
    <x:row r="15">
      <x:c r="A15" s="22" t="str">
        <x:v>SF13</x:v>
      </x:c>
      <x:c r="B15" s="22" t="str">
        <x:v>S13; S22</x:v>
      </x:c>
      <x:c r="C15" s="22" t="n">
        <x:v>2</x:v>
      </x:c>
      <x:c r="D15" s="22" t="str">
        <x:v>2014</x:v>
      </x:c>
      <x:c r="E15" s="22" t="str">
        <x:v>Irrigation / water management</x:v>
      </x:c>
      <x:c r="F15" s="22" t="str">
        <x:v>Policy / socio-ecological assessment</x:v>
      </x:c>
      <x:c r="G15" s="22" t="str">
        <x:v>Hierarchical</x:v>
      </x:c>
      <x:c r="H15" s="22" t="str">
        <x:v>Biophysical representation; Farmer / producer; Manager / regulator</x:v>
      </x:c>
      <x:c r="I15" s="22" t="str">
        <x:v>BDI; Rule-based</x:v>
      </x:c>
      <x:c r="J15" s="22" t="str">
        <x:v>Hierarchical / supervisory; Environment / shared-resource mediated</x:v>
      </x:c>
      <x:c r="K15" s="22" t="str">
        <x:v>Integrated-system</x:v>
      </x:c>
      <x:c r="L15" s="22" t="str">
        <x:v>Simulation</x:v>
      </x:c>
      <x:c r="M15" s="22" t="str">
        <x:v>Direct</x:v>
      </x:c>
      <x:c r="N15" s="22" t="str">
        <x:v>Descriptive / feasibility / no directional conclusion</x:v>
      </x:c>
      <x:c r="O15" s="22" t="str">
        <x:v>No</x:v>
      </x:c>
      <x:c r="P15" s="28" t="n">
        <x:v>12</x:v>
      </x:c>
    </x:row>
    <x:row r="16">
      <x:c r="A16" s="22" t="str">
        <x:v>SF14</x:v>
      </x:c>
      <x:c r="B16" s="22" t="str">
        <x:v>S14</x:v>
      </x:c>
      <x:c r="C16" s="22" t="n">
        <x:v>1</x:v>
      </x:c>
      <x:c r="D16" s="22" t="str">
        <x:v>2019</x:v>
      </x:c>
      <x:c r="E16" s="22" t="str">
        <x:v>Livestock / integrated farming</x:v>
      </x:c>
      <x:c r="F16" s="22" t="str">
        <x:v>Trading / collective governance</x:v>
      </x:c>
      <x:c r="G16" s="22" t="str">
        <x:v>Decentralised</x:v>
      </x:c>
      <x:c r="H16" s="22" t="str">
        <x:v>Farmer / producer</x:v>
      </x:c>
      <x:c r="I16" s="22" t="str">
        <x:v>Rule-based</x:v>
      </x:c>
      <x:c r="J16" s="22" t="str">
        <x:v>Environment / shared-resource mediated; Peer diffusion / exchange</x:v>
      </x:c>
      <x:c r="K16" s="22" t="str">
        <x:v>Integrated-system</x:v>
      </x:c>
      <x:c r="L16" s="22" t="str">
        <x:v>Simulation</x:v>
      </x:c>
      <x:c r="M16" s="22" t="str">
        <x:v>Indirect</x:v>
      </x:c>
      <x:c r="N16" s="22" t="str">
        <x:v>Descriptive / feasibility / no directional conclusion</x:v>
      </x:c>
      <x:c r="O16" s="22" t="str">
        <x:v>No</x:v>
      </x:c>
      <x:c r="P16" s="28" t="n">
        <x:v>8</x:v>
      </x:c>
    </x:row>
    <x:row r="17">
      <x:c r="A17" s="22" t="str">
        <x:v>SF15</x:v>
      </x:c>
      <x:c r="B17" s="22" t="str">
        <x:v>S15</x:v>
      </x:c>
      <x:c r="C17" s="22" t="n">
        <x:v>1</x:v>
      </x:c>
      <x:c r="D17" s="22" t="str">
        <x:v>2017</x:v>
      </x:c>
      <x:c r="E17" s="22" t="str">
        <x:v>Livestock / integrated farming</x:v>
      </x:c>
      <x:c r="F17" s="22" t="str">
        <x:v>Decision support / monitoring</x:v>
      </x:c>
      <x:c r="G17" s="22" t="str">
        <x:v>Centralised</x:v>
      </x:c>
      <x:c r="H17" s="22" t="str">
        <x:v>Biophysical representation; Manager / regulator; Specialist / advisory</x:v>
      </x:c>
      <x:c r="I17" s="22" t="str">
        <x:v>Reactive; Rule-based</x:v>
      </x:c>
      <x:c r="J17" s="22" t="str">
        <x:v>Hierarchical / supervisory</x:v>
      </x:c>
      <x:c r="K17" s="22" t="str">
        <x:v>Integrated-system</x:v>
      </x:c>
      <x:c r="L17" s="22" t="str">
        <x:v>Prototype</x:v>
      </x:c>
      <x:c r="M17" s="22" t="str">
        <x:v>Not addressed</x:v>
      </x:c>
      <x:c r="N17" s="22" t="str">
        <x:v>Descriptive / feasibility / no directional conclusion</x:v>
      </x:c>
      <x:c r="O17" s="22" t="str">
        <x:v>No</x:v>
      </x:c>
      <x:c r="P17" s="28" t="n">
        <x:v>10</x:v>
      </x:c>
    </x:row>
    <x:row r="18">
      <x:c r="A18" s="22" t="str">
        <x:v>SF16</x:v>
      </x:c>
      <x:c r="B18" s="22" t="str">
        <x:v>S16; S20</x:v>
      </x:c>
      <x:c r="C18" s="22" t="n">
        <x:v>2</x:v>
      </x:c>
      <x:c r="D18" s="22" t="str">
        <x:v>2020–2023</x:v>
      </x:c>
      <x:c r="E18" s="22" t="str">
        <x:v>Irrigation / water management</x:v>
      </x:c>
      <x:c r="F18" s="22" t="str">
        <x:v>Trading / collective governance</x:v>
      </x:c>
      <x:c r="G18" s="22" t="str">
        <x:v>Decentralised</x:v>
      </x:c>
      <x:c r="H18" s="22" t="str">
        <x:v>Farmer / producer; Market / trader</x:v>
      </x:c>
      <x:c r="I18" s="22" t="str">
        <x:v>Rule-based; Utility / economic</x:v>
      </x:c>
      <x:c r="J18" s="22" t="str">
        <x:v>Auction / market; Direct negotiation / agreements</x:v>
      </x:c>
      <x:c r="K18" s="22" t="str">
        <x:v>Single-domain</x:v>
      </x:c>
      <x:c r="L18" s="22" t="str">
        <x:v>Simulation</x:v>
      </x:c>
      <x:c r="M18" s="22" t="str">
        <x:v>Direct</x:v>
      </x:c>
      <x:c r="N18" s="22" t="str">
        <x:v>Favourable (conditional/simulated); Mixed / trade-off / scenario-dependent</x:v>
      </x:c>
      <x:c r="O18" s="22" t="str">
        <x:v>No</x:v>
      </x:c>
      <x:c r="P18" s="28" t="n">
        <x:v>13</x:v>
      </x:c>
    </x:row>
    <x:row r="19">
      <x:c r="A19" s="22" t="str">
        <x:v>SF17</x:v>
      </x:c>
      <x:c r="B19" s="22" t="str">
        <x:v>S17</x:v>
      </x:c>
      <x:c r="C19" s="22" t="n">
        <x:v>1</x:v>
      </x:c>
      <x:c r="D19" s="22" t="str">
        <x:v>2026</x:v>
      </x:c>
      <x:c r="E19" s="22" t="str">
        <x:v>Crop / farm management</x:v>
      </x:c>
      <x:c r="F19" s="22" t="str">
        <x:v>Policy / socio-ecological assessment</x:v>
      </x:c>
      <x:c r="G19" s="22" t="str">
        <x:v>Hierarchical</x:v>
      </x:c>
      <x:c r="H19" s="22" t="str">
        <x:v>Manager / regulator; Specialist / advisory</x:v>
      </x:c>
      <x:c r="I19" s="22" t="str">
        <x:v>Reactive; Rule-based</x:v>
      </x:c>
      <x:c r="J19" s="22" t="str">
        <x:v>Hierarchical / supervisory</x:v>
      </x:c>
      <x:c r="K19" s="22" t="str">
        <x:v>Integrated-system</x:v>
      </x:c>
      <x:c r="L19" s="22" t="str">
        <x:v>Simulation</x:v>
      </x:c>
      <x:c r="M19" s="22" t="str">
        <x:v>Direct</x:v>
      </x:c>
      <x:c r="N19" s="22" t="str">
        <x:v>Mixed / trade-off / scenario-dependent</x:v>
      </x:c>
      <x:c r="O19" s="22" t="str">
        <x:v>No</x:v>
      </x:c>
      <x:c r="P19" s="28" t="n">
        <x:v>12</x:v>
      </x:c>
    </x:row>
    <x:row r="20">
      <x:c r="A20" s="22" t="str">
        <x:v>SF18</x:v>
      </x:c>
      <x:c r="B20" s="22" t="str">
        <x:v>S18</x:v>
      </x:c>
      <x:c r="C20" s="22" t="n">
        <x:v>1</x:v>
      </x:c>
      <x:c r="D20" s="22" t="str">
        <x:v>2026</x:v>
      </x:c>
      <x:c r="E20" s="22" t="str">
        <x:v>Crop / farm management</x:v>
      </x:c>
      <x:c r="F20" s="22" t="str">
        <x:v>Operational allocation / control</x:v>
      </x:c>
      <x:c r="G20" s="22" t="str">
        <x:v>Hybrid</x:v>
      </x:c>
      <x:c r="H20" s="22" t="str">
        <x:v>Operational / robot; Specialist / advisory</x:v>
      </x:c>
      <x:c r="I20" s="22" t="str">
        <x:v>Learning-based</x:v>
      </x:c>
      <x:c r="J20" s="22" t="str">
        <x:v>Hierarchical / supervisory; Learning / MARL</x:v>
      </x:c>
      <x:c r="K20" s="22" t="str">
        <x:v>Multi-domain</x:v>
      </x:c>
      <x:c r="L20" s="22" t="str">
        <x:v>Simulation</x:v>
      </x:c>
      <x:c r="M20" s="22" t="str">
        <x:v>Direct</x:v>
      </x:c>
      <x:c r="N20" s="22" t="str">
        <x:v>Favourable (conditional/simulated)</x:v>
      </x:c>
      <x:c r="O20" s="22" t="str">
        <x:v>No</x:v>
      </x:c>
      <x:c r="P20" s="28" t="n">
        <x:v>11</x:v>
      </x:c>
    </x:row>
    <x:row r="21">
      <x:c r="A21" s="22" t="str">
        <x:v>SF19</x:v>
      </x:c>
      <x:c r="B21" s="22" t="str">
        <x:v>S19</x:v>
      </x:c>
      <x:c r="C21" s="22" t="n">
        <x:v>1</x:v>
      </x:c>
      <x:c r="D21" s="22" t="str">
        <x:v>2024</x:v>
      </x:c>
      <x:c r="E21" s="22" t="str">
        <x:v>Workforce / robotics / task allocation</x:v>
      </x:c>
      <x:c r="F21" s="22" t="str">
        <x:v>Operational allocation / control</x:v>
      </x:c>
      <x:c r="G21" s="22" t="str">
        <x:v>Centralised</x:v>
      </x:c>
      <x:c r="H21" s="22" t="str">
        <x:v>Manager / regulator; Operational / robot</x:v>
      </x:c>
      <x:c r="I21" s="22" t="str">
        <x:v>NR</x:v>
      </x:c>
      <x:c r="J21" s="22" t="str">
        <x:v>Hierarchical / supervisory; Optimisation / scheduling</x:v>
      </x:c>
      <x:c r="K21" s="22" t="str">
        <x:v>Single-domain</x:v>
      </x:c>
      <x:c r="L21" s="22" t="str">
        <x:v>Controlled experiment</x:v>
      </x:c>
      <x:c r="M21" s="22" t="str">
        <x:v>Indirect</x:v>
      </x:c>
      <x:c r="N21" s="22" t="str">
        <x:v>Favourable (conditional/simulated)</x:v>
      </x:c>
      <x:c r="O21" s="22" t="str">
        <x:v>No</x:v>
      </x:c>
      <x:c r="P21" s="28" t="n">
        <x:v>13</x:v>
      </x:c>
    </x:row>
    <x:row r="22">
      <x:c r="A22" s="22" t="str">
        <x:v>SF21</x:v>
      </x:c>
      <x:c r="B22" s="22" t="str">
        <x:v>S21</x:v>
      </x:c>
      <x:c r="C22" s="22" t="n">
        <x:v>1</x:v>
      </x:c>
      <x:c r="D22" s="22" t="str">
        <x:v>2026</x:v>
      </x:c>
      <x:c r="E22" s="22" t="str">
        <x:v>Irrigation / water management</x:v>
      </x:c>
      <x:c r="F22" s="22" t="str">
        <x:v>Operational allocation / control</x:v>
      </x:c>
      <x:c r="G22" s="22" t="str">
        <x:v>Hybrid</x:v>
      </x:c>
      <x:c r="H22" s="22" t="str">
        <x:v>Manager / regulator; Operational / robot</x:v>
      </x:c>
      <x:c r="I22" s="22" t="str">
        <x:v>Learning-based</x:v>
      </x:c>
      <x:c r="J22" s="22" t="str">
        <x:v>Learning / MARL; Peer diffusion / exchange</x:v>
      </x:c>
      <x:c r="K22" s="22" t="str">
        <x:v>Multi-domain</x:v>
      </x:c>
      <x:c r="L22" s="22" t="str">
        <x:v>Simulation</x:v>
      </x:c>
      <x:c r="M22" s="22" t="str">
        <x:v>Direct</x:v>
      </x:c>
      <x:c r="N22" s="22" t="str">
        <x:v>Favourable (conditional/simulated)</x:v>
      </x:c>
      <x:c r="O22" s="22" t="str">
        <x:v>No</x:v>
      </x:c>
      <x:c r="P22" s="28" t="n">
        <x:v>14</x:v>
      </x:c>
    </x:row>
    <x:row r="23">
      <x:c r="A23" s="22" t="str">
        <x:v>SF24</x:v>
      </x:c>
      <x:c r="B23" s="22" t="str">
        <x:v>S24</x:v>
      </x:c>
      <x:c r="C23" s="22" t="n">
        <x:v>1</x:v>
      </x:c>
      <x:c r="D23" s="22" t="str">
        <x:v>2019</x:v>
      </x:c>
      <x:c r="E23" s="22" t="str">
        <x:v>Irrigation / water management</x:v>
      </x:c>
      <x:c r="F23" s="22" t="str">
        <x:v>Operational allocation / control</x:v>
      </x:c>
      <x:c r="G23" s="22" t="str">
        <x:v>Centralised</x:v>
      </x:c>
      <x:c r="H23" s="22" t="str">
        <x:v>Operational / robot; Specialist / advisory</x:v>
      </x:c>
      <x:c r="I23" s="22" t="str">
        <x:v>Case-based reasoning; Learning-based; Rule-based</x:v>
      </x:c>
      <x:c r="J23" s="22" t="str">
        <x:v>Hierarchical / supervisory</x:v>
      </x:c>
      <x:c r="K23" s="22" t="str">
        <x:v>Single-domain</x:v>
      </x:c>
      <x:c r="L23" s="22" t="str">
        <x:v>Simulation</x:v>
      </x:c>
      <x:c r="M23" s="22" t="str">
        <x:v>Direct</x:v>
      </x:c>
      <x:c r="N23" s="22" t="str">
        <x:v>Favourable (conditional/simulated)</x:v>
      </x:c>
      <x:c r="O23" s="22" t="str">
        <x:v>No</x:v>
      </x:c>
      <x:c r="P23" s="28" t="n">
        <x:v>12</x:v>
      </x:c>
    </x:row>
    <x:row r="24">
      <x:c r="A24" s="22" t="str">
        <x:v>SF25</x:v>
      </x:c>
      <x:c r="B24" s="22" t="str">
        <x:v>S25; S33; S34</x:v>
      </x:c>
      <x:c r="C24" s="22" t="n">
        <x:v>3</x:v>
      </x:c>
      <x:c r="D24" s="22" t="str">
        <x:v>2022–2023</x:v>
      </x:c>
      <x:c r="E24" s="22" t="str">
        <x:v>Workforce / robotics / task allocation</x:v>
      </x:c>
      <x:c r="F24" s="22" t="str">
        <x:v>Operational allocation / control</x:v>
      </x:c>
      <x:c r="G24" s="22" t="str">
        <x:v>Centralised</x:v>
      </x:c>
      <x:c r="H24" s="22" t="str">
        <x:v>Manager / regulator; Operational / robot</x:v>
      </x:c>
      <x:c r="I24" s="22" t="str">
        <x:v>Rule-based; Utility / economic</x:v>
      </x:c>
      <x:c r="J24" s="22" t="str">
        <x:v>Auction / market; Optimisation / scheduling</x:v>
      </x:c>
      <x:c r="K24" s="22" t="str">
        <x:v>Single-domain</x:v>
      </x:c>
      <x:c r="L24" s="22" t="str">
        <x:v>Prototype; Simulation</x:v>
      </x:c>
      <x:c r="M24" s="22" t="str">
        <x:v>Indirect</x:v>
      </x:c>
      <x:c r="N24" s="22" t="str">
        <x:v>Favourable (conditional/simulated); Mixed / trade-off / scenario-dependent</x:v>
      </x:c>
      <x:c r="O24" s="22" t="str">
        <x:v>No</x:v>
      </x:c>
      <x:c r="P24" s="28" t="n">
        <x:v>13.67</x:v>
      </x:c>
    </x:row>
    <x:row r="25">
      <x:c r="A25" s="22" t="str">
        <x:v>SF26</x:v>
      </x:c>
      <x:c r="B25" s="22" t="str">
        <x:v>S26</x:v>
      </x:c>
      <x:c r="C25" s="22" t="n">
        <x:v>1</x:v>
      </x:c>
      <x:c r="D25" s="22" t="str">
        <x:v>2021</x:v>
      </x:c>
      <x:c r="E25" s="22" t="str">
        <x:v>Irrigation / water management</x:v>
      </x:c>
      <x:c r="F25" s="22" t="str">
        <x:v>Policy / socio-ecological assessment</x:v>
      </x:c>
      <x:c r="G25" s="22" t="str">
        <x:v>Hybrid</x:v>
      </x:c>
      <x:c r="H25" s="22" t="str">
        <x:v>Biophysical representation; Farmer / producer</x:v>
      </x:c>
      <x:c r="I25" s="22" t="str">
        <x:v>Learning-based</x:v>
      </x:c>
      <x:c r="J25" s="22" t="str">
        <x:v>Environment / shared-resource mediated; Learning / MARL</x:v>
      </x:c>
      <x:c r="K25" s="22" t="str">
        <x:v>Integrated-system</x:v>
      </x:c>
      <x:c r="L25" s="22" t="str">
        <x:v>Simulation</x:v>
      </x:c>
      <x:c r="M25" s="22" t="str">
        <x:v>Direct</x:v>
      </x:c>
      <x:c r="N25" s="22" t="str">
        <x:v>Mixed / trade-off / scenario-dependent</x:v>
      </x:c>
      <x:c r="O25" s="22" t="str">
        <x:v>No</x:v>
      </x:c>
      <x:c r="P25" s="28" t="n">
        <x:v>14</x:v>
      </x:c>
    </x:row>
    <x:row r="26">
      <x:c r="A26" s="22" t="str">
        <x:v>SF27</x:v>
      </x:c>
      <x:c r="B26" s="22" t="str">
        <x:v>S27</x:v>
      </x:c>
      <x:c r="C26" s="22" t="n">
        <x:v>1</x:v>
      </x:c>
      <x:c r="D26" s="22" t="str">
        <x:v>2013</x:v>
      </x:c>
      <x:c r="E26" s="22" t="str">
        <x:v>Irrigation / water management</x:v>
      </x:c>
      <x:c r="F26" s="22" t="str">
        <x:v>Policy / socio-ecological assessment</x:v>
      </x:c>
      <x:c r="G26" s="22" t="str">
        <x:v>Decentralised</x:v>
      </x:c>
      <x:c r="H26" s="22" t="str">
        <x:v>Farmer / producer</x:v>
      </x:c>
      <x:c r="I26" s="22" t="str">
        <x:v>Rule-based; Utility / economic</x:v>
      </x:c>
      <x:c r="J26" s="22" t="str">
        <x:v>Environment / shared-resource mediated</x:v>
      </x:c>
      <x:c r="K26" s="22" t="str">
        <x:v>Integrated-system</x:v>
      </x:c>
      <x:c r="L26" s="22" t="str">
        <x:v>Simulation</x:v>
      </x:c>
      <x:c r="M26" s="22" t="str">
        <x:v>Direct</x:v>
      </x:c>
      <x:c r="N26" s="22" t="str">
        <x:v>Mixed / trade-off / scenario-dependent</x:v>
      </x:c>
      <x:c r="O26" s="22" t="str">
        <x:v>No</x:v>
      </x:c>
      <x:c r="P26" s="28" t="n">
        <x:v>13</x:v>
      </x:c>
    </x:row>
    <x:row r="27">
      <x:c r="A27" s="22" t="str">
        <x:v>SF28</x:v>
      </x:c>
      <x:c r="B27" s="22" t="str">
        <x:v>S28</x:v>
      </x:c>
      <x:c r="C27" s="22" t="n">
        <x:v>1</x:v>
      </x:c>
      <x:c r="D27" s="22" t="str">
        <x:v>2010</x:v>
      </x:c>
      <x:c r="E27" s="22" t="str">
        <x:v>Soil / nutrient / environmental management</x:v>
      </x:c>
      <x:c r="F27" s="22" t="str">
        <x:v>Operational allocation / control</x:v>
      </x:c>
      <x:c r="G27" s="22" t="str">
        <x:v>Hierarchical</x:v>
      </x:c>
      <x:c r="H27" s="22" t="str">
        <x:v>Farmer / producer; Manager / regulator</x:v>
      </x:c>
      <x:c r="I27" s="22" t="str">
        <x:v>Rule-based; Utility / economic</x:v>
      </x:c>
      <x:c r="J27" s="22" t="str">
        <x:v>Auction / market; Hierarchical / supervisory; Optimisation / scheduling</x:v>
      </x:c>
      <x:c r="K27" s="22" t="str">
        <x:v>Integrated-system</x:v>
      </x:c>
      <x:c r="L27" s="22" t="str">
        <x:v>Simulation</x:v>
      </x:c>
      <x:c r="M27" s="22" t="str">
        <x:v>Direct</x:v>
      </x:c>
      <x:c r="N27" s="22" t="str">
        <x:v>Mixed / trade-off / scenario-dependent</x:v>
      </x:c>
      <x:c r="O27" s="22" t="str">
        <x:v>No</x:v>
      </x:c>
      <x:c r="P27" s="28" t="n">
        <x:v>14</x:v>
      </x:c>
    </x:row>
    <x:row r="28">
      <x:c r="A28" s="22" t="str">
        <x:v>SF30</x:v>
      </x:c>
      <x:c r="B28" s="22" t="str">
        <x:v>S30</x:v>
      </x:c>
      <x:c r="C28" s="22" t="n">
        <x:v>1</x:v>
      </x:c>
      <x:c r="D28" s="22" t="str">
        <x:v>2018</x:v>
      </x:c>
      <x:c r="E28" s="22" t="str">
        <x:v>Irrigation / water management</x:v>
      </x:c>
      <x:c r="F28" s="22" t="str">
        <x:v>Operational allocation / control</x:v>
      </x:c>
      <x:c r="G28" s="22" t="str">
        <x:v>Distributed</x:v>
      </x:c>
      <x:c r="H28" s="22" t="str">
        <x:v>Market / trader; Operational / robot</x:v>
      </x:c>
      <x:c r="I28" s="22" t="str">
        <x:v>NR</x:v>
      </x:c>
      <x:c r="J28" s="22" t="str">
        <x:v>Auction / market; Optimisation / scheduling</x:v>
      </x:c>
      <x:c r="K28" s="22" t="str">
        <x:v>Single-domain</x:v>
      </x:c>
      <x:c r="L28" s="22" t="str">
        <x:v>Simulation</x:v>
      </x:c>
      <x:c r="M28" s="22" t="str">
        <x:v>Indirect</x:v>
      </x:c>
      <x:c r="N28" s="22" t="str">
        <x:v>Mixed / trade-off / scenario-dependent</x:v>
      </x:c>
      <x:c r="O28" s="22" t="str">
        <x:v>No</x:v>
      </x:c>
      <x:c r="P28" s="28" t="n">
        <x:v>13</x:v>
      </x:c>
    </x:row>
    <x:row r="29">
      <x:c r="A29" s="22" t="str">
        <x:v>SF31</x:v>
      </x:c>
      <x:c r="B29" s="22" t="str">
        <x:v>S31</x:v>
      </x:c>
      <x:c r="C29" s="22" t="n">
        <x:v>1</x:v>
      </x:c>
      <x:c r="D29" s="22" t="str">
        <x:v>2022</x:v>
      </x:c>
      <x:c r="E29" s="22" t="str">
        <x:v>Workforce / robotics / task allocation</x:v>
      </x:c>
      <x:c r="F29" s="22" t="str">
        <x:v>Operational allocation / control</x:v>
      </x:c>
      <x:c r="G29" s="22" t="str">
        <x:v>Decentralised</x:v>
      </x:c>
      <x:c r="H29" s="22" t="str">
        <x:v>Market / trader; Operational / robot</x:v>
      </x:c>
      <x:c r="I29" s="22" t="str">
        <x:v>NR</x:v>
      </x:c>
      <x:c r="J29" s="22" t="str">
        <x:v>Auction / market; Optimisation / scheduling</x:v>
      </x:c>
      <x:c r="K29" s="22" t="str">
        <x:v>Single-domain</x:v>
      </x:c>
      <x:c r="L29" s="22" t="str">
        <x:v>Simulation</x:v>
      </x:c>
      <x:c r="M29" s="22" t="str">
        <x:v>Indirect</x:v>
      </x:c>
      <x:c r="N29" s="22" t="str">
        <x:v>Favourable (conditional/simulated)</x:v>
      </x:c>
      <x:c r="O29" s="22" t="str">
        <x:v>No</x:v>
      </x:c>
      <x:c r="P29" s="28" t="n">
        <x:v>12</x:v>
      </x:c>
    </x:row>
    <x:row r="30">
      <x:c r="A30" s="22" t="str">
        <x:v>SF32</x:v>
      </x:c>
      <x:c r="B30" s="22" t="str">
        <x:v>S32</x:v>
      </x:c>
      <x:c r="C30" s="22" t="n">
        <x:v>1</x:v>
      </x:c>
      <x:c r="D30" s="22" t="str">
        <x:v>2012</x:v>
      </x:c>
      <x:c r="E30" s="22" t="str">
        <x:v>Irrigation / water management</x:v>
      </x:c>
      <x:c r="F30" s="22" t="str">
        <x:v>Trading / collective governance</x:v>
      </x:c>
      <x:c r="G30" s="22" t="str">
        <x:v>Decentralised</x:v>
      </x:c>
      <x:c r="H30" s="22" t="str">
        <x:v>Farmer / producer</x:v>
      </x:c>
      <x:c r="I30" s="22" t="str">
        <x:v>Learning-based; Rule-based; Utility / economic</x:v>
      </x:c>
      <x:c r="J30" s="22" t="str">
        <x:v>Environment / shared-resource mediated; Learning / MARL</x:v>
      </x:c>
      <x:c r="K30" s="22" t="str">
        <x:v>Single-domain</x:v>
      </x:c>
      <x:c r="L30" s="22" t="str">
        <x:v>Simulation</x:v>
      </x:c>
      <x:c r="M30" s="22" t="str">
        <x:v>Direct</x:v>
      </x:c>
      <x:c r="N30" s="22" t="str">
        <x:v>Favourable (conditional/simulated)</x:v>
      </x:c>
      <x:c r="O30" s="22" t="str">
        <x:v>No</x:v>
      </x:c>
      <x:c r="P30" s="28" t="n">
        <x:v>13</x:v>
      </x:c>
    </x:row>
    <x:row r="31">
      <x:c r="A31" s="22" t="str">
        <x:v>SF35</x:v>
      </x:c>
      <x:c r="B31" s="22" t="str">
        <x:v>S35</x:v>
      </x:c>
      <x:c r="C31" s="22" t="n">
        <x:v>1</x:v>
      </x:c>
      <x:c r="D31" s="22" t="str">
        <x:v>2011</x:v>
      </x:c>
      <x:c r="E31" s="22" t="str">
        <x:v>Crop / farm management</x:v>
      </x:c>
      <x:c r="F31" s="22" t="str">
        <x:v>Policy / socio-ecological assessment</x:v>
      </x:c>
      <x:c r="G31" s="22" t="str">
        <x:v>Hybrid</x:v>
      </x:c>
      <x:c r="H31" s="22" t="str">
        <x:v>Biophysical representation; Farmer / producer; Manager / regulator; Market / trader</x:v>
      </x:c>
      <x:c r="I31" s="22" t="str">
        <x:v>Rule-based; Utility / economic</x:v>
      </x:c>
      <x:c r="J31" s="22" t="str">
        <x:v>Auction / market; Environment / shared-resource mediated; Peer diffusion / exchange</x:v>
      </x:c>
      <x:c r="K31" s="22" t="str">
        <x:v>Integrated-system</x:v>
      </x:c>
      <x:c r="L31" s="22" t="str">
        <x:v>Simulation</x:v>
      </x:c>
      <x:c r="M31" s="22" t="str">
        <x:v>Direct</x:v>
      </x:c>
      <x:c r="N31" s="22" t="str">
        <x:v>Descriptive / feasibility / no directional conclusion</x:v>
      </x:c>
      <x:c r="O31" s="22" t="str">
        <x:v>No</x:v>
      </x:c>
      <x:c r="P31" s="28" t="n">
        <x:v>14</x:v>
      </x:c>
    </x:row>
    <x:row r="32">
      <x:c r="A32" s="22" t="str">
        <x:v>SF36</x:v>
      </x:c>
      <x:c r="B32" s="22" t="str">
        <x:v>S36</x:v>
      </x:c>
      <x:c r="C32" s="22" t="n">
        <x:v>1</x:v>
      </x:c>
      <x:c r="D32" s="22" t="str">
        <x:v>2017</x:v>
      </x:c>
      <x:c r="E32" s="22" t="str">
        <x:v>Crop / farm management</x:v>
      </x:c>
      <x:c r="F32" s="22" t="str">
        <x:v>Policy / socio-ecological assessment</x:v>
      </x:c>
      <x:c r="G32" s="22" t="str">
        <x:v>Decentralised</x:v>
      </x:c>
      <x:c r="H32" s="22" t="str">
        <x:v>Farmer / producer</x:v>
      </x:c>
      <x:c r="I32" s="22" t="str">
        <x:v>Rule-based; Utility / economic</x:v>
      </x:c>
      <x:c r="J32" s="22" t="str">
        <x:v>Peer diffusion / exchange</x:v>
      </x:c>
      <x:c r="K32" s="22" t="str">
        <x:v>Integrated-system</x:v>
      </x:c>
      <x:c r="L32" s="22" t="str">
        <x:v>Simulation</x:v>
      </x:c>
      <x:c r="M32" s="22" t="str">
        <x:v>Direct</x:v>
      </x:c>
      <x:c r="N32" s="22" t="str">
        <x:v>Favourable (conditional/simulated)</x:v>
      </x:c>
      <x:c r="O32" s="22" t="str">
        <x:v>No</x:v>
      </x:c>
      <x:c r="P32" s="28" t="n">
        <x:v>14</x:v>
      </x:c>
    </x:row>
    <x:row r="33">
      <x:c r="A33" s="22" t="str">
        <x:v>SF37</x:v>
      </x:c>
      <x:c r="B33" s="22" t="str">
        <x:v>S37</x:v>
      </x:c>
      <x:c r="C33" s="22" t="n">
        <x:v>1</x:v>
      </x:c>
      <x:c r="D33" s="22" t="str">
        <x:v>2014</x:v>
      </x:c>
      <x:c r="E33" s="22" t="str">
        <x:v>Soil / nutrient / environmental management</x:v>
      </x:c>
      <x:c r="F33" s="22" t="str">
        <x:v>Policy / socio-ecological assessment</x:v>
      </x:c>
      <x:c r="G33" s="22" t="str">
        <x:v>Hybrid</x:v>
      </x:c>
      <x:c r="H33" s="22" t="str">
        <x:v>Biophysical representation; Farmer / producer</x:v>
      </x:c>
      <x:c r="I33" s="22" t="str">
        <x:v>Rule-based; Utility / economic</x:v>
      </x:c>
      <x:c r="J33" s="22" t="str">
        <x:v>Environment / shared-resource mediated; Peer diffusion / exchange</x:v>
      </x:c>
      <x:c r="K33" s="22" t="str">
        <x:v>Integrated-system</x:v>
      </x:c>
      <x:c r="L33" s="22" t="str">
        <x:v>Simulation</x:v>
      </x:c>
      <x:c r="M33" s="22" t="str">
        <x:v>Direct</x:v>
      </x:c>
      <x:c r="N33" s="22" t="str">
        <x:v>Favourable (conditional/simulated)</x:v>
      </x:c>
      <x:c r="O33" s="22" t="str">
        <x:v>No</x:v>
      </x:c>
      <x:c r="P33" s="28" t="n">
        <x:v>14</x:v>
      </x:c>
    </x:row>
    <x:row r="34">
      <x:c r="A34" s="22" t="str">
        <x:v>SF38</x:v>
      </x:c>
      <x:c r="B34" s="22" t="str">
        <x:v>S38</x:v>
      </x:c>
      <x:c r="C34" s="22" t="n">
        <x:v>1</x:v>
      </x:c>
      <x:c r="D34" s="22" t="str">
        <x:v>2017</x:v>
      </x:c>
      <x:c r="E34" s="22" t="str">
        <x:v>Irrigation / water management</x:v>
      </x:c>
      <x:c r="F34" s="22" t="str">
        <x:v>Trading / collective governance</x:v>
      </x:c>
      <x:c r="G34" s="22" t="str">
        <x:v>Decentralised</x:v>
      </x:c>
      <x:c r="H34" s="22" t="str">
        <x:v>Farmer / producer; Manager / regulator</x:v>
      </x:c>
      <x:c r="I34" s="22" t="str">
        <x:v>Rule-based</x:v>
      </x:c>
      <x:c r="J34" s="22" t="str">
        <x:v>Direct negotiation / agreements; Peer diffusion / exchange</x:v>
      </x:c>
      <x:c r="K34" s="22" t="str">
        <x:v>Single-domain</x:v>
      </x:c>
      <x:c r="L34" s="22" t="str">
        <x:v>Simulation</x:v>
      </x:c>
      <x:c r="M34" s="22" t="str">
        <x:v>Direct</x:v>
      </x:c>
      <x:c r="N34" s="22" t="str">
        <x:v>Mixed / trade-off / scenario-dependent</x:v>
      </x:c>
      <x:c r="O34" s="22" t="str">
        <x:v>No</x:v>
      </x:c>
      <x:c r="P34" s="28" t="n">
        <x:v>13</x:v>
      </x:c>
    </x:row>
    <x:row r="35">
      <x:c r="A35" s="22" t="str">
        <x:v>SF39</x:v>
      </x:c>
      <x:c r="B35" s="22" t="str">
        <x:v>S39</x:v>
      </x:c>
      <x:c r="C35" s="22" t="n">
        <x:v>1</x:v>
      </x:c>
      <x:c r="D35" s="22" t="str">
        <x:v>2020</x:v>
      </x:c>
      <x:c r="E35" s="22" t="str">
        <x:v>Irrigation / water management</x:v>
      </x:c>
      <x:c r="F35" s="22" t="str">
        <x:v>Trading / collective governance</x:v>
      </x:c>
      <x:c r="G35" s="22" t="str">
        <x:v>Decentralised</x:v>
      </x:c>
      <x:c r="H35" s="22" t="str">
        <x:v>Biophysical representation; Farmer / producer</x:v>
      </x:c>
      <x:c r="I35" s="22" t="str">
        <x:v>Rule-based</x:v>
      </x:c>
      <x:c r="J35" s="22" t="str">
        <x:v>Environment / shared-resource mediated</x:v>
      </x:c>
      <x:c r="K35" s="22" t="str">
        <x:v>Integrated-system</x:v>
      </x:c>
      <x:c r="L35" s="22" t="str">
        <x:v>Simulation</x:v>
      </x:c>
      <x:c r="M35" s="22" t="str">
        <x:v>Direct</x:v>
      </x:c>
      <x:c r="N35" s="22" t="str">
        <x:v>Mixed / trade-off / scenario-dependent</x:v>
      </x:c>
      <x:c r="O35" s="22" t="str">
        <x:v>No</x:v>
      </x:c>
      <x:c r="P35" s="28" t="n">
        <x:v>13</x:v>
      </x:c>
    </x:row>
    <x:row r="36">
      <x:c r="A36" s="22" t="str">
        <x:v>SF40</x:v>
      </x:c>
      <x:c r="B36" s="22" t="str">
        <x:v>S40</x:v>
      </x:c>
      <x:c r="C36" s="22" t="n">
        <x:v>1</x:v>
      </x:c>
      <x:c r="D36" s="22" t="str">
        <x:v>2011</x:v>
      </x:c>
      <x:c r="E36" s="22" t="str">
        <x:v>Crop / farm management</x:v>
      </x:c>
      <x:c r="F36" s="22" t="str">
        <x:v>Policy / socio-ecological assessment</x:v>
      </x:c>
      <x:c r="G36" s="22" t="str">
        <x:v>Decentralised</x:v>
      </x:c>
      <x:c r="H36" s="22" t="str">
        <x:v>Biophysical representation; Farmer / producer</x:v>
      </x:c>
      <x:c r="I36" s="22" t="str">
        <x:v>Learning-based; Utility / economic</x:v>
      </x:c>
      <x:c r="J36" s="22" t="str">
        <x:v>Environment / shared-resource mediated; Peer diffusion / exchange</x:v>
      </x:c>
      <x:c r="K36" s="22" t="str">
        <x:v>Integrated-system</x:v>
      </x:c>
      <x:c r="L36" s="22" t="str">
        <x:v>Simulation</x:v>
      </x:c>
      <x:c r="M36" s="22" t="str">
        <x:v>Direct</x:v>
      </x:c>
      <x:c r="N36" s="22" t="str">
        <x:v>Mixed / trade-off / scenario-dependent</x:v>
      </x:c>
      <x:c r="O36" s="22" t="str">
        <x:v>No</x:v>
      </x:c>
      <x:c r="P36" s="28" t="n">
        <x:v>13</x:v>
      </x:c>
    </x:row>
    <x:row r="37">
      <x:c r="A37" s="22" t="str">
        <x:v>SF41</x:v>
      </x:c>
      <x:c r="B37" s="22" t="str">
        <x:v>S41</x:v>
      </x:c>
      <x:c r="C37" s="22" t="n">
        <x:v>1</x:v>
      </x:c>
      <x:c r="D37" s="22" t="str">
        <x:v>2018</x:v>
      </x:c>
      <x:c r="E37" s="22" t="str">
        <x:v>Irrigation / water management</x:v>
      </x:c>
      <x:c r="F37" s="22" t="str">
        <x:v>Operational allocation / control</x:v>
      </x:c>
      <x:c r="G37" s="22" t="str">
        <x:v>Hierarchical</x:v>
      </x:c>
      <x:c r="H37" s="22" t="str">
        <x:v>Farmer / producer; Manager / regulator</x:v>
      </x:c>
      <x:c r="I37" s="22" t="str">
        <x:v>Rule-based; Utility / economic</x:v>
      </x:c>
      <x:c r="J37" s="22" t="str">
        <x:v>Hierarchical / supervisory; Optimisation / scheduling; Peer diffusion / exchange</x:v>
      </x:c>
      <x:c r="K37" s="22" t="str">
        <x:v>Integrated-system</x:v>
      </x:c>
      <x:c r="L37" s="22" t="str">
        <x:v>Simulation</x:v>
      </x:c>
      <x:c r="M37" s="22" t="str">
        <x:v>Direct</x:v>
      </x:c>
      <x:c r="N37" s="22" t="str">
        <x:v>Favourable (conditional/simulated)</x:v>
      </x:c>
      <x:c r="O37" s="22" t="str">
        <x:v>No</x:v>
      </x:c>
      <x:c r="P37" s="28" t="n">
        <x:v>13</x:v>
      </x:c>
    </x:row>
    <x:row r="38">
      <x:c r="A38" s="22" t="str">
        <x:v>SF42</x:v>
      </x:c>
      <x:c r="B38" s="22" t="str">
        <x:v>S42; S52</x:v>
      </x:c>
      <x:c r="C38" s="22" t="n">
        <x:v>2</x:v>
      </x:c>
      <x:c r="D38" s="22" t="str">
        <x:v>2014–2024</x:v>
      </x:c>
      <x:c r="E38" s="22" t="str">
        <x:v>Energy / WEF nexus; Irrigation / water management</x:v>
      </x:c>
      <x:c r="F38" s="22" t="str">
        <x:v>Policy / socio-ecological assessment</x:v>
      </x:c>
      <x:c r="G38" s="22" t="str">
        <x:v>Hierarchical; Hybrid</x:v>
      </x:c>
      <x:c r="H38" s="22" t="str">
        <x:v>Biophysical representation; Farmer / producer; Manager / regulator</x:v>
      </x:c>
      <x:c r="I38" s="22" t="str">
        <x:v>Rule-based</x:v>
      </x:c>
      <x:c r="J38" s="22" t="str">
        <x:v>Hierarchical / supervisory; Environment / shared-resource mediated; Optimisation / scheduling</x:v>
      </x:c>
      <x:c r="K38" s="22" t="str">
        <x:v>Integrated-system</x:v>
      </x:c>
      <x:c r="L38" s="22" t="str">
        <x:v>Simulation</x:v>
      </x:c>
      <x:c r="M38" s="22" t="str">
        <x:v>Direct</x:v>
      </x:c>
      <x:c r="N38" s="22" t="str">
        <x:v>Descriptive / feasibility / no directional conclusion; Mixed / trade-off / scenario-dependent</x:v>
      </x:c>
      <x:c r="O38" s="22" t="str">
        <x:v>No</x:v>
      </x:c>
      <x:c r="P38" s="28" t="n">
        <x:v>13</x:v>
      </x:c>
    </x:row>
    <x:row r="39">
      <x:c r="A39" s="22" t="str">
        <x:v>SF43</x:v>
      </x:c>
      <x:c r="B39" s="22" t="str">
        <x:v>S43</x:v>
      </x:c>
      <x:c r="C39" s="22" t="n">
        <x:v>1</x:v>
      </x:c>
      <x:c r="D39" s="22" t="str">
        <x:v>2001</x:v>
      </x:c>
      <x:c r="E39" s="22" t="str">
        <x:v>Crop / farm management</x:v>
      </x:c>
      <x:c r="F39" s="22" t="str">
        <x:v>Policy / socio-ecological assessment</x:v>
      </x:c>
      <x:c r="G39" s="22" t="str">
        <x:v>Hybrid</x:v>
      </x:c>
      <x:c r="H39" s="22" t="str">
        <x:v>Biophysical representation; Farmer / producer; Market / trader</x:v>
      </x:c>
      <x:c r="I39" s="22" t="str">
        <x:v>Rule-based; Utility / economic</x:v>
      </x:c>
      <x:c r="J39" s="22" t="str">
        <x:v>Auction / market; Environment / shared-resource mediated; Peer diffusion / exchange</x:v>
      </x:c>
      <x:c r="K39" s="22" t="str">
        <x:v>Integrated-system</x:v>
      </x:c>
      <x:c r="L39" s="22" t="str">
        <x:v>Simulation</x:v>
      </x:c>
      <x:c r="M39" s="22" t="str">
        <x:v>Direct</x:v>
      </x:c>
      <x:c r="N39" s="22" t="str">
        <x:v>Mixed / trade-off / scenario-dependent</x:v>
      </x:c>
      <x:c r="O39" s="22" t="str">
        <x:v>No</x:v>
      </x:c>
      <x:c r="P39" s="28" t="n">
        <x:v>13</x:v>
      </x:c>
    </x:row>
    <x:row r="40">
      <x:c r="A40" s="22" t="str">
        <x:v>SF44</x:v>
      </x:c>
      <x:c r="B40" s="22" t="str">
        <x:v>S44</x:v>
      </x:c>
      <x:c r="C40" s="22" t="n">
        <x:v>1</x:v>
      </x:c>
      <x:c r="D40" s="22" t="str">
        <x:v>2003</x:v>
      </x:c>
      <x:c r="E40" s="22" t="str">
        <x:v>Irrigation / water management</x:v>
      </x:c>
      <x:c r="F40" s="22" t="str">
        <x:v>Trading / collective governance</x:v>
      </x:c>
      <x:c r="G40" s="22" t="str">
        <x:v>Decentralised</x:v>
      </x:c>
      <x:c r="H40" s="22" t="str">
        <x:v>Biophysical representation; Farmer / producer</x:v>
      </x:c>
      <x:c r="I40" s="22" t="str">
        <x:v>Rule-based</x:v>
      </x:c>
      <x:c r="J40" s="22" t="str">
        <x:v>Direct negotiation / agreements; Environment / shared-resource mediated; Peer diffusion / exchange</x:v>
      </x:c>
      <x:c r="K40" s="22" t="str">
        <x:v>Integrated-system</x:v>
      </x:c>
      <x:c r="L40" s="22" t="str">
        <x:v>Simulation</x:v>
      </x:c>
      <x:c r="M40" s="22" t="str">
        <x:v>Direct</x:v>
      </x:c>
      <x:c r="N40" s="22" t="str">
        <x:v>Mixed / trade-off / scenario-dependent</x:v>
      </x:c>
      <x:c r="O40" s="22" t="str">
        <x:v>No</x:v>
      </x:c>
      <x:c r="P40" s="28" t="n">
        <x:v>13</x:v>
      </x:c>
    </x:row>
    <x:row r="41">
      <x:c r="A41" s="22" t="str">
        <x:v>SF45</x:v>
      </x:c>
      <x:c r="B41" s="22" t="str">
        <x:v>S45</x:v>
      </x:c>
      <x:c r="C41" s="22" t="n">
        <x:v>1</x:v>
      </x:c>
      <x:c r="D41" s="22" t="str">
        <x:v>2003</x:v>
      </x:c>
      <x:c r="E41" s="22" t="str">
        <x:v>Irrigation / water management</x:v>
      </x:c>
      <x:c r="F41" s="22" t="str">
        <x:v>Trading / collective governance</x:v>
      </x:c>
      <x:c r="G41" s="22" t="str">
        <x:v>Hierarchical</x:v>
      </x:c>
      <x:c r="H41" s="22" t="str">
        <x:v>Biophysical representation; Farmer / producer; Manager / regulator</x:v>
      </x:c>
      <x:c r="I41" s="22" t="str">
        <x:v>Rule-based; Utility / economic</x:v>
      </x:c>
      <x:c r="J41" s="22" t="str">
        <x:v>Direct negotiation / agreements; Hierarchical / supervisory; Environment / shared-resource mediated</x:v>
      </x:c>
      <x:c r="K41" s="22" t="str">
        <x:v>Integrated-system</x:v>
      </x:c>
      <x:c r="L41" s="22" t="str">
        <x:v>Simulation</x:v>
      </x:c>
      <x:c r="M41" s="22" t="str">
        <x:v>Direct</x:v>
      </x:c>
      <x:c r="N41" s="22" t="str">
        <x:v>Mixed / trade-off / scenario-dependent</x:v>
      </x:c>
      <x:c r="O41" s="22" t="str">
        <x:v>No</x:v>
      </x:c>
      <x:c r="P41" s="28" t="n">
        <x:v>13</x:v>
      </x:c>
    </x:row>
    <x:row r="42">
      <x:c r="A42" s="22" t="str">
        <x:v>SF46</x:v>
      </x:c>
      <x:c r="B42" s="22" t="str">
        <x:v>S46</x:v>
      </x:c>
      <x:c r="C42" s="22" t="n">
        <x:v>1</x:v>
      </x:c>
      <x:c r="D42" s="22" t="str">
        <x:v>2004</x:v>
      </x:c>
      <x:c r="E42" s="22" t="str">
        <x:v>Irrigation / water management</x:v>
      </x:c>
      <x:c r="F42" s="22" t="str">
        <x:v>Trading / collective governance</x:v>
      </x:c>
      <x:c r="G42" s="22" t="str">
        <x:v>Hierarchical</x:v>
      </x:c>
      <x:c r="H42" s="22" t="str">
        <x:v>Biophysical representation; Farmer / producer; Manager / regulator</x:v>
      </x:c>
      <x:c r="I42" s="22" t="str">
        <x:v>Rule-based</x:v>
      </x:c>
      <x:c r="J42" s="22" t="str">
        <x:v>Hierarchical / supervisory; Environment / shared-resource mediated; Peer diffusion / exchange</x:v>
      </x:c>
      <x:c r="K42" s="22" t="str">
        <x:v>Integrated-system</x:v>
      </x:c>
      <x:c r="L42" s="22" t="str">
        <x:v>Simulation</x:v>
      </x:c>
      <x:c r="M42" s="22" t="str">
        <x:v>Direct</x:v>
      </x:c>
      <x:c r="N42" s="22" t="str">
        <x:v>Mixed / trade-off / scenario-dependent</x:v>
      </x:c>
      <x:c r="O42" s="22" t="str">
        <x:v>No</x:v>
      </x:c>
      <x:c r="P42" s="28" t="n">
        <x:v>13</x:v>
      </x:c>
    </x:row>
    <x:row r="43">
      <x:c r="A43" s="22" t="str">
        <x:v>SF47</x:v>
      </x:c>
      <x:c r="B43" s="22" t="str">
        <x:v>S47</x:v>
      </x:c>
      <x:c r="C43" s="22" t="n">
        <x:v>1</x:v>
      </x:c>
      <x:c r="D43" s="22" t="str">
        <x:v>2007</x:v>
      </x:c>
      <x:c r="E43" s="22" t="str">
        <x:v>Soil / nutrient / environmental management</x:v>
      </x:c>
      <x:c r="F43" s="22" t="str">
        <x:v>Policy / socio-ecological assessment</x:v>
      </x:c>
      <x:c r="G43" s="22" t="str">
        <x:v>Decentralised</x:v>
      </x:c>
      <x:c r="H43" s="22" t="str">
        <x:v>Farmer / producer</x:v>
      </x:c>
      <x:c r="I43" s="22" t="str">
        <x:v>Rule-based; Utility / economic</x:v>
      </x:c>
      <x:c r="J43" s="22" t="str">
        <x:v>Peer diffusion / exchange</x:v>
      </x:c>
      <x:c r="K43" s="22" t="str">
        <x:v>Integrated-system</x:v>
      </x:c>
      <x:c r="L43" s="22" t="str">
        <x:v>Simulation</x:v>
      </x:c>
      <x:c r="M43" s="22" t="str">
        <x:v>Direct</x:v>
      </x:c>
      <x:c r="N43" s="22" t="str">
        <x:v>Favourable (conditional/simulated)</x:v>
      </x:c>
      <x:c r="O43" s="22" t="str">
        <x:v>No</x:v>
      </x:c>
      <x:c r="P43" s="28" t="n">
        <x:v>14</x:v>
      </x:c>
    </x:row>
    <x:row r="44">
      <x:c r="A44" s="22" t="str">
        <x:v>SF48</x:v>
      </x:c>
      <x:c r="B44" s="22" t="str">
        <x:v>S48</x:v>
      </x:c>
      <x:c r="C44" s="22" t="n">
        <x:v>1</x:v>
      </x:c>
      <x:c r="D44" s="22" t="str">
        <x:v>2025</x:v>
      </x:c>
      <x:c r="E44" s="22" t="str">
        <x:v>Irrigation / water management</x:v>
      </x:c>
      <x:c r="F44" s="22" t="str">
        <x:v>Operational allocation / control</x:v>
      </x:c>
      <x:c r="G44" s="22" t="str">
        <x:v>Hybrid</x:v>
      </x:c>
      <x:c r="H44" s="22" t="str">
        <x:v>Farmer / producer; Manager / regulator</x:v>
      </x:c>
      <x:c r="I44" s="22" t="str">
        <x:v>Rule-based; Utility / economic</x:v>
      </x:c>
      <x:c r="J44" s="22" t="str">
        <x:v>Hierarchical / supervisory; Optimisation / scheduling</x:v>
      </x:c>
      <x:c r="K44" s="22" t="str">
        <x:v>Integrated-system</x:v>
      </x:c>
      <x:c r="L44" s="22" t="str">
        <x:v>Simulation</x:v>
      </x:c>
      <x:c r="M44" s="22" t="str">
        <x:v>Direct</x:v>
      </x:c>
      <x:c r="N44" s="22" t="str">
        <x:v>Mixed / trade-off / scenario-dependent</x:v>
      </x:c>
      <x:c r="O44" s="22" t="str">
        <x:v>No</x:v>
      </x:c>
      <x:c r="P44" s="28" t="n">
        <x:v>14</x:v>
      </x:c>
    </x:row>
    <x:row r="45">
      <x:c r="A45" s="22" t="str">
        <x:v>SF49</x:v>
      </x:c>
      <x:c r="B45" s="22" t="str">
        <x:v>S49; S53</x:v>
      </x:c>
      <x:c r="C45" s="22" t="n">
        <x:v>2</x:v>
      </x:c>
      <x:c r="D45" s="22" t="str">
        <x:v>2019–2022</x:v>
      </x:c>
      <x:c r="E45" s="22" t="str">
        <x:v>Irrigation / water management</x:v>
      </x:c>
      <x:c r="F45" s="22" t="str">
        <x:v>Operational allocation / control</x:v>
      </x:c>
      <x:c r="G45" s="22" t="str">
        <x:v>Centralised</x:v>
      </x:c>
      <x:c r="H45" s="22" t="str">
        <x:v>Manager / regulator; Operational / robot</x:v>
      </x:c>
      <x:c r="I45" s="22" t="str">
        <x:v>NR</x:v>
      </x:c>
      <x:c r="J45" s="22" t="str">
        <x:v>Hierarchical / supervisory; Optimisation / scheduling</x:v>
      </x:c>
      <x:c r="K45" s="22" t="str">
        <x:v>Single-domain</x:v>
      </x:c>
      <x:c r="L45" s="22" t="str">
        <x:v>Simulation</x:v>
      </x:c>
      <x:c r="M45" s="22" t="str">
        <x:v>Direct</x:v>
      </x:c>
      <x:c r="N45" s="22" t="str">
        <x:v>Favourable (conditional/simulated)</x:v>
      </x:c>
      <x:c r="O45" s="22" t="str">
        <x:v>No</x:v>
      </x:c>
      <x:c r="P45" s="28" t="n">
        <x:v>13</x:v>
      </x:c>
    </x:row>
    <x:row r="46">
      <x:c r="A46" s="22" t="str">
        <x:v>SF50</x:v>
      </x:c>
      <x:c r="B46" s="22" t="str">
        <x:v>S50</x:v>
      </x:c>
      <x:c r="C46" s="22" t="n">
        <x:v>1</x:v>
      </x:c>
      <x:c r="D46" s="22" t="str">
        <x:v>2023</x:v>
      </x:c>
      <x:c r="E46" s="22" t="str">
        <x:v>Workforce / robotics / task allocation</x:v>
      </x:c>
      <x:c r="F46" s="22" t="str">
        <x:v>Operational allocation / control</x:v>
      </x:c>
      <x:c r="G46" s="22" t="str">
        <x:v>Centralised</x:v>
      </x:c>
      <x:c r="H46" s="22" t="str">
        <x:v>Manager / regulator; Operational / robot</x:v>
      </x:c>
      <x:c r="I46" s="22" t="str">
        <x:v>NR</x:v>
      </x:c>
      <x:c r="J46" s="22" t="str">
        <x:v>Hierarchical / supervisory; Optimisation / scheduling</x:v>
      </x:c>
      <x:c r="K46" s="22" t="str">
        <x:v>Single-domain</x:v>
      </x:c>
      <x:c r="L46" s="22" t="str">
        <x:v>Simulation</x:v>
      </x:c>
      <x:c r="M46" s="22" t="str">
        <x:v>Indirect</x:v>
      </x:c>
      <x:c r="N46" s="22" t="str">
        <x:v>Favourable (conditional/simulated)</x:v>
      </x:c>
      <x:c r="O46" s="22" t="str">
        <x:v>No</x:v>
      </x:c>
      <x:c r="P46" s="28" t="n">
        <x:v>12</x:v>
      </x:c>
    </x:row>
    <x:row r="47">
      <x:c r="A47" s="22" t="str">
        <x:v>SF51</x:v>
      </x:c>
      <x:c r="B47" s="22" t="str">
        <x:v>S51</x:v>
      </x:c>
      <x:c r="C47" s="22" t="n">
        <x:v>1</x:v>
      </x:c>
      <x:c r="D47" s="22" t="str">
        <x:v>2021</x:v>
      </x:c>
      <x:c r="E47" s="22" t="str">
        <x:v>Livestock / integrated farming</x:v>
      </x:c>
      <x:c r="F47" s="22" t="str">
        <x:v>Trading / collective governance</x:v>
      </x:c>
      <x:c r="G47" s="22" t="str">
        <x:v>Decentralised</x:v>
      </x:c>
      <x:c r="H47" s="22" t="str">
        <x:v>Biophysical representation; Farmer / producer; Market / trader</x:v>
      </x:c>
      <x:c r="I47" s="22" t="str">
        <x:v>Rule-based</x:v>
      </x:c>
      <x:c r="J47" s="22" t="str">
        <x:v>Auction / market; Direct negotiation / agreements</x:v>
      </x:c>
      <x:c r="K47" s="22" t="str">
        <x:v>Multi-domain</x:v>
      </x:c>
      <x:c r="L47" s="22" t="str">
        <x:v>Simulation</x:v>
      </x:c>
      <x:c r="M47" s="22" t="str">
        <x:v>Direct</x:v>
      </x:c>
      <x:c r="N47" s="22" t="str">
        <x:v>Mixed / trade-off / scenario-dependent</x:v>
      </x:c>
      <x:c r="O47" s="22" t="str">
        <x:v>No</x:v>
      </x:c>
      <x:c r="P47" s="28" t="n">
        <x:v>14</x:v>
      </x:c>
    </x:row>
  </x:sheetData>
  <x:mergeCells>
    <x:mergeCell ref="A1:P1"/>
  </x:mergeCells>
  <x:pageMargins left="0.7" right="0.7" top="0.75" bottom="0.75" header="0.3" footer="0.3"/>
  <x:tableParts count="1">
    <x:tablePart xmlns:r="http://schemas.openxmlformats.org/officeDocument/2006/relationships" r:id="R5ebc2f76ca7744ca"/>
  </x:tableParts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12" hidden="0" customWidth="1"/>
  </x:cols>
  <x:sheetData>
    <x:row r="1" ht="28" customHeight="1">
      <x:c r="A1" s="5" t="str">
        <x:v>Cross-classification: Application Domain × Functional Purpose</x:v>
      </x:c>
      <x:c r="B1" s="5"/>
      <x:c r="C1" s="5"/>
      <x:c r="D1" s="5"/>
      <x:c r="E1" s="5"/>
      <x:c r="F1" s="5"/>
    </x:row>
    <x:row r="3">
      <x:c r="A3" s="31" t="str">
        <x:v>Publication-level co-occurrence (n=53)</x:v>
      </x:c>
    </x:row>
    <x:row r="4">
      <x:c r="A4" s="14" t="str"/>
      <x:c r="B4" s="14" t="str">
        <x:v>Operational allocation / control</x:v>
      </x:c>
      <x:c r="C4" s="14" t="str">
        <x:v>Policy / socio-ecological assessment</x:v>
      </x:c>
      <x:c r="D4" s="14" t="str">
        <x:v>Trading / collective governance</x:v>
      </x:c>
      <x:c r="E4" s="14" t="str">
        <x:v>Decision support / monitoring</x:v>
      </x:c>
      <x:c r="F4" s="14" t="str">
        <x:v>Row total</x:v>
      </x:c>
    </x:row>
    <x:row r="5">
      <x:c r="A5" s="22" t="str">
        <x:v>Irrigation / water management</x:v>
      </x:c>
      <x:c r="B5" s="22" t="n">
        <x:v>11</x:v>
      </x:c>
      <x:c r="C5" s="22" t="n">
        <x:v>5</x:v>
      </x:c>
      <x:c r="D5" s="22" t="n">
        <x:v>8</x:v>
      </x:c>
      <x:c r="E5" s="22" t="n">
        <x:v>0</x:v>
      </x:c>
      <x:c r="F5" s="22" t="n">
        <x:v>24</x:v>
      </x:c>
    </x:row>
    <x:row r="6">
      <x:c r="A6" s="22" t="str">
        <x:v>Crop / farm management</x:v>
      </x:c>
      <x:c r="B6" s="22" t="n">
        <x:v>2</x:v>
      </x:c>
      <x:c r="C6" s="22" t="n">
        <x:v>6</x:v>
      </x:c>
      <x:c r="D6" s="22" t="n">
        <x:v>0</x:v>
      </x:c>
      <x:c r="E6" s="22" t="n">
        <x:v>0</x:v>
      </x:c>
      <x:c r="F6" s="22" t="n">
        <x:v>8</x:v>
      </x:c>
    </x:row>
    <x:row r="7">
      <x:c r="A7" s="22" t="str">
        <x:v>Livestock / integrated farming</x:v>
      </x:c>
      <x:c r="B7" s="22" t="n">
        <x:v>0</x:v>
      </x:c>
      <x:c r="C7" s="22" t="n">
        <x:v>2</x:v>
      </x:c>
      <x:c r="D7" s="22" t="n">
        <x:v>2</x:v>
      </x:c>
      <x:c r="E7" s="22" t="n">
        <x:v>2</x:v>
      </x:c>
      <x:c r="F7" s="22" t="n">
        <x:v>6</x:v>
      </x:c>
    </x:row>
    <x:row r="8">
      <x:c r="A8" s="22" t="str">
        <x:v>Workforce / robotics / task allocation</x:v>
      </x:c>
      <x:c r="B8" s="22" t="n">
        <x:v>6</x:v>
      </x:c>
      <x:c r="C8" s="22" t="n">
        <x:v>0</x:v>
      </x:c>
      <x:c r="D8" s="22" t="n">
        <x:v>0</x:v>
      </x:c>
      <x:c r="E8" s="22" t="n">
        <x:v>0</x:v>
      </x:c>
      <x:c r="F8" s="22" t="n">
        <x:v>6</x:v>
      </x:c>
    </x:row>
    <x:row r="9">
      <x:c r="A9" s="22" t="str">
        <x:v>Energy / WEF nexus</x:v>
      </x:c>
      <x:c r="B9" s="22" t="n">
        <x:v>1</x:v>
      </x:c>
      <x:c r="C9" s="22" t="n">
        <x:v>1</x:v>
      </x:c>
      <x:c r="D9" s="22" t="n">
        <x:v>3</x:v>
      </x:c>
      <x:c r="E9" s="22" t="n">
        <x:v>0</x:v>
      </x:c>
      <x:c r="F9" s="22" t="n">
        <x:v>5</x:v>
      </x:c>
    </x:row>
    <x:row r="10">
      <x:c r="A10" s="22" t="str">
        <x:v>Soil / nutrient / environmental management</x:v>
      </x:c>
      <x:c r="B10" s="22" t="n">
        <x:v>1</x:v>
      </x:c>
      <x:c r="C10" s="22" t="n">
        <x:v>3</x:v>
      </x:c>
      <x:c r="D10" s="22" t="n">
        <x:v>0</x:v>
      </x:c>
      <x:c r="E10" s="22" t="n">
        <x:v>0</x:v>
      </x:c>
      <x:c r="F10" s="22" t="n">
        <x:v>4</x:v>
      </x:c>
    </x:row>
    <x:row r="14">
      <x:c r="A14" s="31" t="str">
        <x:v>Family-level evidence co-occurrence (44 reconciled families)</x:v>
      </x:c>
    </x:row>
    <x:row r="15">
      <x:c r="A15" s="14" t="str"/>
      <x:c r="B15" s="14" t="str">
        <x:v>Operational allocation / control</x:v>
      </x:c>
      <x:c r="C15" s="14" t="str">
        <x:v>Policy / socio-ecological assessment</x:v>
      </x:c>
      <x:c r="D15" s="14" t="str">
        <x:v>Trading / collective governance</x:v>
      </x:c>
      <x:c r="E15" s="14" t="str">
        <x:v>Decision support / monitoring</x:v>
      </x:c>
      <x:c r="F15" s="14" t="str">
        <x:v>Row total</x:v>
      </x:c>
    </x:row>
    <x:row r="16">
      <x:c r="A16" s="22" t="str">
        <x:v>Irrigation / water management</x:v>
      </x:c>
      <x:c r="B16" s="22" t="n">
        <x:v>9</x:v>
      </x:c>
      <x:c r="C16" s="22" t="n">
        <x:v>4</x:v>
      </x:c>
      <x:c r="D16" s="22" t="n">
        <x:v>7</x:v>
      </x:c>
      <x:c r="E16" s="22" t="n">
        <x:v>0</x:v>
      </x:c>
      <x:c r="F16" s="22" t="n">
        <x:v>20</x:v>
      </x:c>
    </x:row>
    <x:row r="17">
      <x:c r="A17" s="22" t="str">
        <x:v>Crop / farm management</x:v>
      </x:c>
      <x:c r="B17" s="22" t="n">
        <x:v>2</x:v>
      </x:c>
      <x:c r="C17" s="22" t="n">
        <x:v>6</x:v>
      </x:c>
      <x:c r="D17" s="22" t="n">
        <x:v>0</x:v>
      </x:c>
      <x:c r="E17" s="22" t="n">
        <x:v>0</x:v>
      </x:c>
      <x:c r="F17" s="22" t="n">
        <x:v>8</x:v>
      </x:c>
    </x:row>
    <x:row r="18">
      <x:c r="A18" s="22" t="str">
        <x:v>Livestock / integrated farming</x:v>
      </x:c>
      <x:c r="B18" s="22" t="n">
        <x:v>0</x:v>
      </x:c>
      <x:c r="C18" s="22" t="n">
        <x:v>2</x:v>
      </x:c>
      <x:c r="D18" s="22" t="n">
        <x:v>2</x:v>
      </x:c>
      <x:c r="E18" s="22" t="n">
        <x:v>2</x:v>
      </x:c>
      <x:c r="F18" s="22" t="n">
        <x:v>6</x:v>
      </x:c>
    </x:row>
    <x:row r="19">
      <x:c r="A19" s="22" t="str">
        <x:v>Workforce / robotics / task allocation</x:v>
      </x:c>
      <x:c r="B19" s="22" t="n">
        <x:v>4</x:v>
      </x:c>
      <x:c r="C19" s="22" t="n">
        <x:v>0</x:v>
      </x:c>
      <x:c r="D19" s="22" t="n">
        <x:v>0</x:v>
      </x:c>
      <x:c r="E19" s="22" t="n">
        <x:v>0</x:v>
      </x:c>
      <x:c r="F19" s="22" t="n">
        <x:v>4</x:v>
      </x:c>
    </x:row>
    <x:row r="20">
      <x:c r="A20" s="22" t="str">
        <x:v>Energy / WEF nexus</x:v>
      </x:c>
      <x:c r="B20" s="22" t="n">
        <x:v>1</x:v>
      </x:c>
      <x:c r="C20" s="22" t="n">
        <x:v>1</x:v>
      </x:c>
      <x:c r="D20" s="22" t="n">
        <x:v>1</x:v>
      </x:c>
      <x:c r="E20" s="22" t="n">
        <x:v>0</x:v>
      </x:c>
      <x:c r="F20" s="22" t="n">
        <x:v>3</x:v>
      </x:c>
    </x:row>
    <x:row r="21">
      <x:c r="A21" s="22" t="str">
        <x:v>Soil / nutrient / environmental management</x:v>
      </x:c>
      <x:c r="B21" s="22" t="n">
        <x:v>1</x:v>
      </x:c>
      <x:c r="C21" s="22" t="n">
        <x:v>3</x:v>
      </x:c>
      <x:c r="D21" s="22" t="n">
        <x:v>0</x:v>
      </x:c>
      <x:c r="E21" s="22" t="n">
        <x:v>0</x:v>
      </x:c>
      <x:c r="F21" s="22" t="n">
        <x:v>4</x:v>
      </x:c>
    </x:row>
    <x:row r="23">
      <x:c r="A23" s="36" t="str">
        <x:v>Family-level cells count unique family rows containing both displayed labels. They are evidence-presence counts and can overlap across cells. Heat intensity represents coverage density, not evidence quality.</x:v>
      </x:c>
      <x:c r="B23" s="36"/>
      <x:c r="C23" s="36"/>
      <x:c r="D23" s="36"/>
      <x:c r="E23" s="36"/>
      <x:c r="F23" s="36"/>
    </x:row>
  </x:sheetData>
  <x:mergeCells>
    <x:mergeCell ref="A1:F1"/>
    <x:mergeCell ref="A23:F23"/>
  </x:mergeCells>
  <x:conditionalFormatting sqref="B5:E10">
    <x:cfRule type="colorScale" priority="1">
      <x:colorScale>
        <x:cfvo type="min"/>
        <x:cfvo type="percentile" val="50"/>
        <x:cfvo type="max"/>
        <x:color rgb="FFF4F7FA"/>
        <x:color rgb="FFBCD2E4"/>
        <x:color rgb="FF2F5D7C"/>
      </x:colorScale>
    </x:cfRule>
  </x:conditionalFormatting>
  <x:conditionalFormatting sqref="B16:E21">
    <x:cfRule type="colorScale" priority="2">
      <x:colorScale>
        <x:cfvo type="min"/>
        <x:cfvo type="percentile" val="50"/>
        <x:cfvo type="max"/>
        <x:color rgb="FFF4F7FA"/>
        <x:color rgb="FFBCD2E4"/>
        <x:color rgb="FF2F5D7C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12" hidden="0" customWidth="1"/>
  </x:cols>
  <x:sheetData>
    <x:row r="1" ht="28" customHeight="1">
      <x:c r="A1" s="5" t="str">
        <x:v>Cross-classification: Application Domain × MAS Architecture</x:v>
      </x:c>
      <x:c r="B1" s="5"/>
      <x:c r="C1" s="5"/>
      <x:c r="D1" s="5"/>
      <x:c r="E1" s="5"/>
      <x:c r="F1" s="5"/>
      <x:c r="G1" s="5"/>
    </x:row>
    <x:row r="3">
      <x:c r="A3" s="31" t="str">
        <x:v>Publication-level co-occurrence (n=53)</x:v>
      </x:c>
    </x:row>
    <x:row r="4">
      <x:c r="A4" s="14" t="str"/>
      <x:c r="B4" s="14" t="str">
        <x:v>Decentralised</x:v>
      </x:c>
      <x:c r="C4" s="14" t="str">
        <x:v>Hybrid</x:v>
      </x:c>
      <x:c r="D4" s="14" t="str">
        <x:v>Hierarchical</x:v>
      </x:c>
      <x:c r="E4" s="14" t="str">
        <x:v>Centralised</x:v>
      </x:c>
      <x:c r="F4" s="14" t="str">
        <x:v>Distributed</x:v>
      </x:c>
      <x:c r="G4" s="14" t="str">
        <x:v>Row total</x:v>
      </x:c>
    </x:row>
    <x:row r="5">
      <x:c r="A5" s="22" t="str">
        <x:v>Irrigation / water management</x:v>
      </x:c>
      <x:c r="B5" s="22" t="n">
        <x:v>8</x:v>
      </x:c>
      <x:c r="C5" s="22" t="n">
        <x:v>4</x:v>
      </x:c>
      <x:c r="D5" s="22" t="n">
        <x:v>8</x:v>
      </x:c>
      <x:c r="E5" s="22" t="n">
        <x:v>3</x:v>
      </x:c>
      <x:c r="F5" s="22" t="n">
        <x:v>1</x:v>
      </x:c>
      <x:c r="G5" s="22" t="n">
        <x:v>24</x:v>
      </x:c>
    </x:row>
    <x:row r="6">
      <x:c r="A6" s="22" t="str">
        <x:v>Crop / farm management</x:v>
      </x:c>
      <x:c r="B6" s="22" t="n">
        <x:v>3</x:v>
      </x:c>
      <x:c r="C6" s="22" t="n">
        <x:v>4</x:v>
      </x:c>
      <x:c r="D6" s="22" t="n">
        <x:v>1</x:v>
      </x:c>
      <x:c r="E6" s="22" t="n">
        <x:v>0</x:v>
      </x:c>
      <x:c r="F6" s="22" t="n">
        <x:v>0</x:v>
      </x:c>
      <x:c r="G6" s="22" t="n">
        <x:v>8</x:v>
      </x:c>
    </x:row>
    <x:row r="7">
      <x:c r="A7" s="22" t="str">
        <x:v>Livestock / integrated farming</x:v>
      </x:c>
      <x:c r="B7" s="22" t="n">
        <x:v>3</x:v>
      </x:c>
      <x:c r="C7" s="22" t="n">
        <x:v>0</x:v>
      </x:c>
      <x:c r="D7" s="22" t="n">
        <x:v>0</x:v>
      </x:c>
      <x:c r="E7" s="22" t="n">
        <x:v>2</x:v>
      </x:c>
      <x:c r="F7" s="22" t="n">
        <x:v>1</x:v>
      </x:c>
      <x:c r="G7" s="22" t="n">
        <x:v>6</x:v>
      </x:c>
    </x:row>
    <x:row r="8">
      <x:c r="A8" s="22" t="str">
        <x:v>Workforce / robotics / task allocation</x:v>
      </x:c>
      <x:c r="B8" s="22" t="n">
        <x:v>1</x:v>
      </x:c>
      <x:c r="C8" s="22" t="n">
        <x:v>0</x:v>
      </x:c>
      <x:c r="D8" s="22" t="n">
        <x:v>0</x:v>
      </x:c>
      <x:c r="E8" s="22" t="n">
        <x:v>5</x:v>
      </x:c>
      <x:c r="F8" s="22" t="n">
        <x:v>0</x:v>
      </x:c>
      <x:c r="G8" s="22" t="n">
        <x:v>6</x:v>
      </x:c>
    </x:row>
    <x:row r="9">
      <x:c r="A9" s="22" t="str">
        <x:v>Energy / WEF nexus</x:v>
      </x:c>
      <x:c r="B9" s="22" t="n">
        <x:v>0</x:v>
      </x:c>
      <x:c r="C9" s="22" t="n">
        <x:v>4</x:v>
      </x:c>
      <x:c r="D9" s="22" t="n">
        <x:v>1</x:v>
      </x:c>
      <x:c r="E9" s="22" t="n">
        <x:v>0</x:v>
      </x:c>
      <x:c r="F9" s="22" t="n">
        <x:v>0</x:v>
      </x:c>
      <x:c r="G9" s="22" t="n">
        <x:v>5</x:v>
      </x:c>
    </x:row>
    <x:row r="10">
      <x:c r="A10" s="22" t="str">
        <x:v>Soil / nutrient / environmental management</x:v>
      </x:c>
      <x:c r="B10" s="22" t="n">
        <x:v>2</x:v>
      </x:c>
      <x:c r="C10" s="22" t="n">
        <x:v>1</x:v>
      </x:c>
      <x:c r="D10" s="22" t="n">
        <x:v>1</x:v>
      </x:c>
      <x:c r="E10" s="22" t="n">
        <x:v>0</x:v>
      </x:c>
      <x:c r="F10" s="22" t="n">
        <x:v>0</x:v>
      </x:c>
      <x:c r="G10" s="22" t="n">
        <x:v>4</x:v>
      </x:c>
    </x:row>
    <x:row r="14">
      <x:c r="A14" s="31" t="str">
        <x:v>Family-level evidence co-occurrence (44 reconciled families)</x:v>
      </x:c>
    </x:row>
    <x:row r="15">
      <x:c r="A15" s="14" t="str"/>
      <x:c r="B15" s="14" t="str">
        <x:v>Decentralised</x:v>
      </x:c>
      <x:c r="C15" s="14" t="str">
        <x:v>Hybrid</x:v>
      </x:c>
      <x:c r="D15" s="14" t="str">
        <x:v>Hierarchical</x:v>
      </x:c>
      <x:c r="E15" s="14" t="str">
        <x:v>Centralised</x:v>
      </x:c>
      <x:c r="F15" s="14" t="str">
        <x:v>Distributed</x:v>
      </x:c>
      <x:c r="G15" s="14" t="str">
        <x:v>Row total</x:v>
      </x:c>
    </x:row>
    <x:row r="16">
      <x:c r="A16" s="22" t="str">
        <x:v>Irrigation / water management</x:v>
      </x:c>
      <x:c r="B16" s="22" t="n">
        <x:v>7</x:v>
      </x:c>
      <x:c r="C16" s="22" t="n">
        <x:v>4</x:v>
      </x:c>
      <x:c r="D16" s="22" t="n">
        <x:v>6</x:v>
      </x:c>
      <x:c r="E16" s="22" t="n">
        <x:v>2</x:v>
      </x:c>
      <x:c r="F16" s="22" t="n">
        <x:v>1</x:v>
      </x:c>
      <x:c r="G16" s="22" t="n">
        <x:v>20</x:v>
      </x:c>
    </x:row>
    <x:row r="17">
      <x:c r="A17" s="22" t="str">
        <x:v>Crop / farm management</x:v>
      </x:c>
      <x:c r="B17" s="22" t="n">
        <x:v>3</x:v>
      </x:c>
      <x:c r="C17" s="22" t="n">
        <x:v>4</x:v>
      </x:c>
      <x:c r="D17" s="22" t="n">
        <x:v>1</x:v>
      </x:c>
      <x:c r="E17" s="22" t="n">
        <x:v>0</x:v>
      </x:c>
      <x:c r="F17" s="22" t="n">
        <x:v>0</x:v>
      </x:c>
      <x:c r="G17" s="22" t="n">
        <x:v>8</x:v>
      </x:c>
    </x:row>
    <x:row r="18">
      <x:c r="A18" s="22" t="str">
        <x:v>Livestock / integrated farming</x:v>
      </x:c>
      <x:c r="B18" s="22" t="n">
        <x:v>3</x:v>
      </x:c>
      <x:c r="C18" s="22" t="n">
        <x:v>0</x:v>
      </x:c>
      <x:c r="D18" s="22" t="n">
        <x:v>0</x:v>
      </x:c>
      <x:c r="E18" s="22" t="n">
        <x:v>2</x:v>
      </x:c>
      <x:c r="F18" s="22" t="n">
        <x:v>1</x:v>
      </x:c>
      <x:c r="G18" s="22" t="n">
        <x:v>6</x:v>
      </x:c>
    </x:row>
    <x:row r="19">
      <x:c r="A19" s="22" t="str">
        <x:v>Workforce / robotics / task allocation</x:v>
      </x:c>
      <x:c r="B19" s="22" t="n">
        <x:v>1</x:v>
      </x:c>
      <x:c r="C19" s="22" t="n">
        <x:v>0</x:v>
      </x:c>
      <x:c r="D19" s="22" t="n">
        <x:v>0</x:v>
      </x:c>
      <x:c r="E19" s="22" t="n">
        <x:v>3</x:v>
      </x:c>
      <x:c r="F19" s="22" t="n">
        <x:v>0</x:v>
      </x:c>
      <x:c r="G19" s="22" t="n">
        <x:v>4</x:v>
      </x:c>
    </x:row>
    <x:row r="20">
      <x:c r="A20" s="22" t="str">
        <x:v>Energy / WEF nexus</x:v>
      </x:c>
      <x:c r="B20" s="22" t="n">
        <x:v>0</x:v>
      </x:c>
      <x:c r="C20" s="22" t="n">
        <x:v>2</x:v>
      </x:c>
      <x:c r="D20" s="22" t="n">
        <x:v>1</x:v>
      </x:c>
      <x:c r="E20" s="22" t="n">
        <x:v>0</x:v>
      </x:c>
      <x:c r="F20" s="22" t="n">
        <x:v>0</x:v>
      </x:c>
      <x:c r="G20" s="22" t="n">
        <x:v>3</x:v>
      </x:c>
    </x:row>
    <x:row r="21">
      <x:c r="A21" s="22" t="str">
        <x:v>Soil / nutrient / environmental management</x:v>
      </x:c>
      <x:c r="B21" s="22" t="n">
        <x:v>2</x:v>
      </x:c>
      <x:c r="C21" s="22" t="n">
        <x:v>1</x:v>
      </x:c>
      <x:c r="D21" s="22" t="n">
        <x:v>1</x:v>
      </x:c>
      <x:c r="E21" s="22" t="n">
        <x:v>0</x:v>
      </x:c>
      <x:c r="F21" s="22" t="n">
        <x:v>0</x:v>
      </x:c>
      <x:c r="G21" s="22" t="n">
        <x:v>4</x:v>
      </x:c>
    </x:row>
    <x:row r="23">
      <x:c r="A23" s="36" t="str">
        <x:v>Family-level cells count unique family rows containing both displayed labels. They are evidence-presence counts and can overlap across cells. Heat intensity represents coverage density, not evidence quality.</x:v>
      </x:c>
      <x:c r="B23" s="36"/>
      <x:c r="C23" s="36"/>
      <x:c r="D23" s="36"/>
      <x:c r="E23" s="36"/>
      <x:c r="F23" s="36"/>
      <x:c r="G23" s="36"/>
    </x:row>
  </x:sheetData>
  <x:mergeCells>
    <x:mergeCell ref="A1:G1"/>
    <x:mergeCell ref="A23:G23"/>
  </x:mergeCells>
  <x:conditionalFormatting sqref="B5:F10">
    <x:cfRule type="colorScale" priority="1">
      <x:colorScale>
        <x:cfvo type="min"/>
        <x:cfvo type="percentile" val="50"/>
        <x:cfvo type="max"/>
        <x:color rgb="FFF4F7FA"/>
        <x:color rgb="FFBCD2E4"/>
        <x:color rgb="FF2F5D7C"/>
      </x:colorScale>
    </x:cfRule>
  </x:conditionalFormatting>
  <x:conditionalFormatting sqref="B16:F21">
    <x:cfRule type="colorScale" priority="2">
      <x:colorScale>
        <x:cfvo type="min"/>
        <x:cfvo type="percentile" val="50"/>
        <x:cfvo type="max"/>
        <x:color rgb="FFF4F7FA"/>
        <x:color rgb="FFBCD2E4"/>
        <x:color rgb="FF2F5D7C"/>
      </x:colorScale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12" hidden="0" customWidth="1"/>
  </x:cols>
  <x:sheetData>
    <x:row r="1" ht="28" customHeight="1">
      <x:c r="A1" s="5" t="str">
        <x:v>Coverage matrix: Application Domain × Adjudicated Agent Roles</x:v>
      </x:c>
      <x:c r="B1" s="5"/>
      <x:c r="C1" s="5"/>
      <x:c r="D1" s="5"/>
      <x:c r="E1" s="5"/>
      <x:c r="F1" s="5"/>
      <x:c r="G1" s="5"/>
      <x:c r="H1" s="5"/>
    </x:row>
    <x:row r="3">
      <x:c r="A3" s="31" t="str">
        <x:v>Publication-level co-occurrence (n=53)</x:v>
      </x:c>
    </x:row>
    <x:row r="4">
      <x:c r="A4" s="14" t="str"/>
      <x:c r="B4" s="14" t="str">
        <x:v>Farmer / producer</x:v>
      </x:c>
      <x:c r="C4" s="14" t="str">
        <x:v>Manager / regulator</x:v>
      </x:c>
      <x:c r="D4" s="14" t="str">
        <x:v>Operational / robot</x:v>
      </x:c>
      <x:c r="E4" s="14" t="str">
        <x:v>Specialist / advisory</x:v>
      </x:c>
      <x:c r="F4" s="14" t="str">
        <x:v>Biophysical representation</x:v>
      </x:c>
      <x:c r="G4" s="14" t="str">
        <x:v>Market / trader</x:v>
      </x:c>
      <x:c r="H4" s="14" t="str">
        <x:v>Row total</x:v>
      </x:c>
    </x:row>
    <x:row r="5">
      <x:c r="A5" s="22" t="str">
        <x:v>Irrigation / water management</x:v>
      </x:c>
      <x:c r="B5" s="22" t="n">
        <x:v>15</x:v>
      </x:c>
      <x:c r="C5" s="22" t="n">
        <x:v>14</x:v>
      </x:c>
      <x:c r="D5" s="22" t="n">
        <x:v>9</x:v>
      </x:c>
      <x:c r="E5" s="22" t="n">
        <x:v>4</x:v>
      </x:c>
      <x:c r="F5" s="22" t="n">
        <x:v>8</x:v>
      </x:c>
      <x:c r="G5" s="22" t="n">
        <x:v>3</x:v>
      </x:c>
      <x:c r="H5" s="22" t="n">
        <x:v>24</x:v>
      </x:c>
    </x:row>
    <x:row r="6">
      <x:c r="A6" s="22" t="str">
        <x:v>Crop / farm management</x:v>
      </x:c>
      <x:c r="B6" s="22" t="n">
        <x:v>5</x:v>
      </x:c>
      <x:c r="C6" s="22" t="n">
        <x:v>3</x:v>
      </x:c>
      <x:c r="D6" s="22" t="n">
        <x:v>2</x:v>
      </x:c>
      <x:c r="E6" s="22" t="n">
        <x:v>3</x:v>
      </x:c>
      <x:c r="F6" s="22" t="n">
        <x:v>4</x:v>
      </x:c>
      <x:c r="G6" s="22" t="n">
        <x:v>3</x:v>
      </x:c>
      <x:c r="H6" s="22" t="n">
        <x:v>8</x:v>
      </x:c>
    </x:row>
    <x:row r="7">
      <x:c r="A7" s="22" t="str">
        <x:v>Livestock / integrated farming</x:v>
      </x:c>
      <x:c r="B7" s="22" t="n">
        <x:v>4</x:v>
      </x:c>
      <x:c r="C7" s="22" t="n">
        <x:v>1</x:v>
      </x:c>
      <x:c r="D7" s="22" t="n">
        <x:v>0</x:v>
      </x:c>
      <x:c r="E7" s="22" t="n">
        <x:v>2</x:v>
      </x:c>
      <x:c r="F7" s="22" t="n">
        <x:v>4</x:v>
      </x:c>
      <x:c r="G7" s="22" t="n">
        <x:v>1</x:v>
      </x:c>
      <x:c r="H7" s="22" t="n">
        <x:v>6</x:v>
      </x:c>
    </x:row>
    <x:row r="8">
      <x:c r="A8" s="22" t="str">
        <x:v>Workforce / robotics / task allocation</x:v>
      </x:c>
      <x:c r="B8" s="22" t="n">
        <x:v>0</x:v>
      </x:c>
      <x:c r="C8" s="22" t="n">
        <x:v>5</x:v>
      </x:c>
      <x:c r="D8" s="22" t="n">
        <x:v>6</x:v>
      </x:c>
      <x:c r="E8" s="22" t="n">
        <x:v>0</x:v>
      </x:c>
      <x:c r="F8" s="22" t="n">
        <x:v>0</x:v>
      </x:c>
      <x:c r="G8" s="22" t="n">
        <x:v>1</x:v>
      </x:c>
      <x:c r="H8" s="22" t="n">
        <x:v>6</x:v>
      </x:c>
    </x:row>
    <x:row r="9">
      <x:c r="A9" s="22" t="str">
        <x:v>Energy / WEF nexus</x:v>
      </x:c>
      <x:c r="B9" s="22" t="n">
        <x:v>5</x:v>
      </x:c>
      <x:c r="C9" s="22" t="n">
        <x:v>1</x:v>
      </x:c>
      <x:c r="D9" s="22" t="n">
        <x:v>0</x:v>
      </x:c>
      <x:c r="E9" s="22" t="n">
        <x:v>2</x:v>
      </x:c>
      <x:c r="F9" s="22" t="n">
        <x:v>1</x:v>
      </x:c>
      <x:c r="G9" s="22" t="n">
        <x:v>3</x:v>
      </x:c>
      <x:c r="H9" s="22" t="n">
        <x:v>5</x:v>
      </x:c>
    </x:row>
    <x:row r="10">
      <x:c r="A10" s="22" t="str">
        <x:v>Soil / nutrient / environmental management</x:v>
      </x:c>
      <x:c r="B10" s="22" t="n">
        <x:v>4</x:v>
      </x:c>
      <x:c r="C10" s="22" t="n">
        <x:v>1</x:v>
      </x:c>
      <x:c r="D10" s="22" t="n">
        <x:v>0</x:v>
      </x:c>
      <x:c r="E10" s="22" t="n">
        <x:v>0</x:v>
      </x:c>
      <x:c r="F10" s="22" t="n">
        <x:v>2</x:v>
      </x:c>
      <x:c r="G10" s="22" t="n">
        <x:v>0</x:v>
      </x:c>
      <x:c r="H10" s="22" t="n">
        <x:v>4</x:v>
      </x:c>
    </x:row>
    <x:row r="14">
      <x:c r="A14" s="31" t="str">
        <x:v>Family-level evidence co-occurrence (44 reconciled families)</x:v>
      </x:c>
    </x:row>
    <x:row r="15">
      <x:c r="A15" s="14" t="str"/>
      <x:c r="B15" s="14" t="str">
        <x:v>Farmer / producer</x:v>
      </x:c>
      <x:c r="C15" s="14" t="str">
        <x:v>Manager / regulator</x:v>
      </x:c>
      <x:c r="D15" s="14" t="str">
        <x:v>Operational / robot</x:v>
      </x:c>
      <x:c r="E15" s="14" t="str">
        <x:v>Specialist / advisory</x:v>
      </x:c>
      <x:c r="F15" s="14" t="str">
        <x:v>Biophysical representation</x:v>
      </x:c>
      <x:c r="G15" s="14" t="str">
        <x:v>Market / trader</x:v>
      </x:c>
      <x:c r="H15" s="14" t="str">
        <x:v>Row total</x:v>
      </x:c>
    </x:row>
    <x:row r="16">
      <x:c r="A16" s="22" t="str">
        <x:v>Irrigation / water management</x:v>
      </x:c>
      <x:c r="B16" s="22" t="n">
        <x:v>13</x:v>
      </x:c>
      <x:c r="C16" s="22" t="n">
        <x:v>11</x:v>
      </x:c>
      <x:c r="D16" s="22" t="n">
        <x:v>7</x:v>
      </x:c>
      <x:c r="E16" s="22" t="n">
        <x:v>4</x:v>
      </x:c>
      <x:c r="F16" s="22" t="n">
        <x:v>7</x:v>
      </x:c>
      <x:c r="G16" s="22" t="n">
        <x:v>2</x:v>
      </x:c>
      <x:c r="H16" s="22" t="n">
        <x:v>20</x:v>
      </x:c>
    </x:row>
    <x:row r="17">
      <x:c r="A17" s="22" t="str">
        <x:v>Crop / farm management</x:v>
      </x:c>
      <x:c r="B17" s="22" t="n">
        <x:v>5</x:v>
      </x:c>
      <x:c r="C17" s="22" t="n">
        <x:v>3</x:v>
      </x:c>
      <x:c r="D17" s="22" t="n">
        <x:v>2</x:v>
      </x:c>
      <x:c r="E17" s="22" t="n">
        <x:v>3</x:v>
      </x:c>
      <x:c r="F17" s="22" t="n">
        <x:v>4</x:v>
      </x:c>
      <x:c r="G17" s="22" t="n">
        <x:v>3</x:v>
      </x:c>
      <x:c r="H17" s="22" t="n">
        <x:v>8</x:v>
      </x:c>
    </x:row>
    <x:row r="18">
      <x:c r="A18" s="22" t="str">
        <x:v>Livestock / integrated farming</x:v>
      </x:c>
      <x:c r="B18" s="22" t="n">
        <x:v>4</x:v>
      </x:c>
      <x:c r="C18" s="22" t="n">
        <x:v>1</x:v>
      </x:c>
      <x:c r="D18" s="22" t="n">
        <x:v>0</x:v>
      </x:c>
      <x:c r="E18" s="22" t="n">
        <x:v>2</x:v>
      </x:c>
      <x:c r="F18" s="22" t="n">
        <x:v>4</x:v>
      </x:c>
      <x:c r="G18" s="22" t="n">
        <x:v>1</x:v>
      </x:c>
      <x:c r="H18" s="22" t="n">
        <x:v>6</x:v>
      </x:c>
    </x:row>
    <x:row r="19">
      <x:c r="A19" s="22" t="str">
        <x:v>Workforce / robotics / task allocation</x:v>
      </x:c>
      <x:c r="B19" s="22" t="n">
        <x:v>0</x:v>
      </x:c>
      <x:c r="C19" s="22" t="n">
        <x:v>3</x:v>
      </x:c>
      <x:c r="D19" s="22" t="n">
        <x:v>4</x:v>
      </x:c>
      <x:c r="E19" s="22" t="n">
        <x:v>0</x:v>
      </x:c>
      <x:c r="F19" s="22" t="n">
        <x:v>0</x:v>
      </x:c>
      <x:c r="G19" s="22" t="n">
        <x:v>1</x:v>
      </x:c>
      <x:c r="H19" s="22" t="n">
        <x:v>4</x:v>
      </x:c>
    </x:row>
    <x:row r="20">
      <x:c r="A20" s="22" t="str">
        <x:v>Energy / WEF nexus</x:v>
      </x:c>
      <x:c r="B20" s="22" t="n">
        <x:v>3</x:v>
      </x:c>
      <x:c r="C20" s="22" t="n">
        <x:v>1</x:v>
      </x:c>
      <x:c r="D20" s="22" t="n">
        <x:v>0</x:v>
      </x:c>
      <x:c r="E20" s="22" t="n">
        <x:v>2</x:v>
      </x:c>
      <x:c r="F20" s="22" t="n">
        <x:v>1</x:v>
      </x:c>
      <x:c r="G20" s="22" t="n">
        <x:v>1</x:v>
      </x:c>
      <x:c r="H20" s="22" t="n">
        <x:v>3</x:v>
      </x:c>
    </x:row>
    <x:row r="21">
      <x:c r="A21" s="22" t="str">
        <x:v>Soil / nutrient / environmental management</x:v>
      </x:c>
      <x:c r="B21" s="22" t="n">
        <x:v>4</x:v>
      </x:c>
      <x:c r="C21" s="22" t="n">
        <x:v>1</x:v>
      </x:c>
      <x:c r="D21" s="22" t="n">
        <x:v>0</x:v>
      </x:c>
      <x:c r="E21" s="22" t="n">
        <x:v>0</x:v>
      </x:c>
      <x:c r="F21" s="22" t="n">
        <x:v>2</x:v>
      </x:c>
      <x:c r="G21" s="22" t="n">
        <x:v>0</x:v>
      </x:c>
      <x:c r="H21" s="22" t="n">
        <x:v>4</x:v>
      </x:c>
    </x:row>
    <x:row r="23">
      <x:c r="A23" s="36" t="str">
        <x:v>Family-level cells count unique family rows containing both displayed labels. They are evidence-presence counts and can overlap across cells. Heat intensity represents coverage density, not evidence quality.</x:v>
      </x:c>
      <x:c r="B23" s="36"/>
      <x:c r="C23" s="36"/>
      <x:c r="D23" s="36"/>
      <x:c r="E23" s="36"/>
      <x:c r="F23" s="36"/>
      <x:c r="G23" s="36"/>
      <x:c r="H23" s="36"/>
    </x:row>
  </x:sheetData>
  <x:mergeCells>
    <x:mergeCell ref="A1:H1"/>
    <x:mergeCell ref="A23:H23"/>
  </x:mergeCells>
  <x:conditionalFormatting sqref="B5:G10">
    <x:cfRule type="colorScale" priority="1">
      <x:colorScale>
        <x:cfvo type="min"/>
        <x:cfvo type="percentile" val="50"/>
        <x:cfvo type="max"/>
        <x:color rgb="FFF4F7FA"/>
        <x:color rgb="FFBCD2E4"/>
        <x:color rgb="FF2F5D7C"/>
      </x:colorScale>
    </x:cfRule>
  </x:conditionalFormatting>
  <x:conditionalFormatting sqref="B16:G21">
    <x:cfRule type="colorScale" priority="2">
      <x:colorScale>
        <x:cfvo type="min"/>
        <x:cfvo type="percentile" val="50"/>
        <x:cfvo type="max"/>
        <x:color rgb="FFF4F7FA"/>
        <x:color rgb="FFBCD2E4"/>
        <x:color rgb="FF2F5D7C"/>
      </x:colorScale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12" hidden="0" customWidth="1"/>
  </x:cols>
  <x:sheetData>
    <x:row r="1" ht="28" customHeight="1">
      <x:c r="A1" s="5" t="str">
        <x:v>Coverage matrix: Application Domain × Adjudicated Coordination Mechanisms</x:v>
      </x:c>
      <x:c r="B1" s="5"/>
      <x:c r="C1" s="5"/>
      <x:c r="D1" s="5"/>
      <x:c r="E1" s="5"/>
      <x:c r="F1" s="5"/>
      <x:c r="G1" s="5"/>
      <x:c r="H1" s="5"/>
      <x:c r="I1" s="5"/>
    </x:row>
    <x:row r="3">
      <x:c r="A3" s="31" t="str">
        <x:v>Publication-level co-occurrence (n=53)</x:v>
      </x:c>
    </x:row>
    <x:row r="4">
      <x:c r="A4" s="14" t="str"/>
      <x:c r="B4" s="14" t="str">
        <x:v>Hierarchical / supervisory</x:v>
      </x:c>
      <x:c r="C4" s="14" t="str">
        <x:v>Environment / shared-resource mediated</x:v>
      </x:c>
      <x:c r="D4" s="14" t="str">
        <x:v>Optimisation / scheduling</x:v>
      </x:c>
      <x:c r="E4" s="14" t="str">
        <x:v>Auction / market</x:v>
      </x:c>
      <x:c r="F4" s="14" t="str">
        <x:v>Peer diffusion / exchange</x:v>
      </x:c>
      <x:c r="G4" s="14" t="str">
        <x:v>Learning / MARL</x:v>
      </x:c>
      <x:c r="H4" s="14" t="str">
        <x:v>Direct negotiation / agreements</x:v>
      </x:c>
      <x:c r="I4" s="14" t="str">
        <x:v>Row total</x:v>
      </x:c>
    </x:row>
    <x:row r="5">
      <x:c r="A5" s="22" t="str">
        <x:v>Irrigation / water management</x:v>
      </x:c>
      <x:c r="B5" s="22" t="n">
        <x:v>13</x:v>
      </x:c>
      <x:c r="C5" s="22" t="n">
        <x:v>10</x:v>
      </x:c>
      <x:c r="D5" s="22" t="n">
        <x:v>7</x:v>
      </x:c>
      <x:c r="E5" s="22" t="n">
        <x:v>3</x:v>
      </x:c>
      <x:c r="F5" s="22" t="n">
        <x:v>5</x:v>
      </x:c>
      <x:c r="G5" s="22" t="n">
        <x:v>6</x:v>
      </x:c>
      <x:c r="H5" s="22" t="n">
        <x:v>6</x:v>
      </x:c>
      <x:c r="I5" s="22" t="n">
        <x:v>24</x:v>
      </x:c>
    </x:row>
    <x:row r="6">
      <x:c r="A6" s="22" t="str">
        <x:v>Crop / farm management</x:v>
      </x:c>
      <x:c r="B6" s="22" t="n">
        <x:v>3</x:v>
      </x:c>
      <x:c r="C6" s="22" t="n">
        <x:v>4</x:v>
      </x:c>
      <x:c r="D6" s="22" t="n">
        <x:v>1</x:v>
      </x:c>
      <x:c r="E6" s="22" t="n">
        <x:v>3</x:v>
      </x:c>
      <x:c r="F6" s="22" t="n">
        <x:v>4</x:v>
      </x:c>
      <x:c r="G6" s="22" t="n">
        <x:v>1</x:v>
      </x:c>
      <x:c r="H6" s="22" t="n">
        <x:v>1</x:v>
      </x:c>
      <x:c r="I6" s="22" t="n">
        <x:v>8</x:v>
      </x:c>
    </x:row>
    <x:row r="7">
      <x:c r="A7" s="22" t="str">
        <x:v>Livestock / integrated farming</x:v>
      </x:c>
      <x:c r="B7" s="22" t="n">
        <x:v>2</x:v>
      </x:c>
      <x:c r="C7" s="22" t="n">
        <x:v>3</x:v>
      </x:c>
      <x:c r="D7" s="22" t="n">
        <x:v>0</x:v>
      </x:c>
      <x:c r="E7" s="22" t="n">
        <x:v>1</x:v>
      </x:c>
      <x:c r="F7" s="22" t="n">
        <x:v>1</x:v>
      </x:c>
      <x:c r="G7" s="22" t="n">
        <x:v>0</x:v>
      </x:c>
      <x:c r="H7" s="22" t="n">
        <x:v>1</x:v>
      </x:c>
      <x:c r="I7" s="22" t="n">
        <x:v>6</x:v>
      </x:c>
    </x:row>
    <x:row r="8">
      <x:c r="A8" s="22" t="str">
        <x:v>Workforce / robotics / task allocation</x:v>
      </x:c>
      <x:c r="B8" s="22" t="n">
        <x:v>2</x:v>
      </x:c>
      <x:c r="C8" s="22" t="n">
        <x:v>0</x:v>
      </x:c>
      <x:c r="D8" s="22" t="n">
        <x:v>6</x:v>
      </x:c>
      <x:c r="E8" s="22" t="n">
        <x:v>4</x:v>
      </x:c>
      <x:c r="F8" s="22" t="n">
        <x:v>0</x:v>
      </x:c>
      <x:c r="G8" s="22" t="n">
        <x:v>0</x:v>
      </x:c>
      <x:c r="H8" s="22" t="n">
        <x:v>0</x:v>
      </x:c>
      <x:c r="I8" s="22" t="n">
        <x:v>6</x:v>
      </x:c>
    </x:row>
    <x:row r="9">
      <x:c r="A9" s="22" t="str">
        <x:v>Energy / WEF nexus</x:v>
      </x:c>
      <x:c r="B9" s="22" t="n">
        <x:v>4</x:v>
      </x:c>
      <x:c r="C9" s="22" t="n">
        <x:v>1</x:v>
      </x:c>
      <x:c r="D9" s="22" t="n">
        <x:v>1</x:v>
      </x:c>
      <x:c r="E9" s="22" t="n">
        <x:v>3</x:v>
      </x:c>
      <x:c r="F9" s="22" t="n">
        <x:v>0</x:v>
      </x:c>
      <x:c r="G9" s="22" t="n">
        <x:v>2</x:v>
      </x:c>
      <x:c r="H9" s="22" t="n">
        <x:v>0</x:v>
      </x:c>
      <x:c r="I9" s="22" t="n">
        <x:v>5</x:v>
      </x:c>
    </x:row>
    <x:row r="10">
      <x:c r="A10" s="22" t="str">
        <x:v>Soil / nutrient / environmental management</x:v>
      </x:c>
      <x:c r="B10" s="22" t="n">
        <x:v>1</x:v>
      </x:c>
      <x:c r="C10" s="22" t="n">
        <x:v>2</x:v>
      </x:c>
      <x:c r="D10" s="22" t="n">
        <x:v>1</x:v>
      </x:c>
      <x:c r="E10" s="22" t="n">
        <x:v>1</x:v>
      </x:c>
      <x:c r="F10" s="22" t="n">
        <x:v>3</x:v>
      </x:c>
      <x:c r="G10" s="22" t="n">
        <x:v>0</x:v>
      </x:c>
      <x:c r="H10" s="22" t="n">
        <x:v>0</x:v>
      </x:c>
      <x:c r="I10" s="22" t="n">
        <x:v>4</x:v>
      </x:c>
    </x:row>
    <x:row r="14">
      <x:c r="A14" s="31" t="str">
        <x:v>Family-level evidence co-occurrence (44 reconciled families)</x:v>
      </x:c>
    </x:row>
    <x:row r="15">
      <x:c r="A15" s="14" t="str"/>
      <x:c r="B15" s="14" t="str">
        <x:v>Hierarchical / supervisory</x:v>
      </x:c>
      <x:c r="C15" s="14" t="str">
        <x:v>Environment / shared-resource mediated</x:v>
      </x:c>
      <x:c r="D15" s="14" t="str">
        <x:v>Optimisation / scheduling</x:v>
      </x:c>
      <x:c r="E15" s="14" t="str">
        <x:v>Auction / market</x:v>
      </x:c>
      <x:c r="F15" s="14" t="str">
        <x:v>Peer diffusion / exchange</x:v>
      </x:c>
      <x:c r="G15" s="14" t="str">
        <x:v>Learning / MARL</x:v>
      </x:c>
      <x:c r="H15" s="14" t="str">
        <x:v>Direct negotiation / agreements</x:v>
      </x:c>
      <x:c r="I15" s="14" t="str">
        <x:v>Row total</x:v>
      </x:c>
    </x:row>
    <x:row r="16">
      <x:c r="A16" s="22" t="str">
        <x:v>Irrigation / water management</x:v>
      </x:c>
      <x:c r="B16" s="22" t="n">
        <x:v>10</x:v>
      </x:c>
      <x:c r="C16" s="22" t="n">
        <x:v>9</x:v>
      </x:c>
      <x:c r="D16" s="22" t="n">
        <x:v>6</x:v>
      </x:c>
      <x:c r="E16" s="22" t="n">
        <x:v>2</x:v>
      </x:c>
      <x:c r="F16" s="22" t="n">
        <x:v>5</x:v>
      </x:c>
      <x:c r="G16" s="22" t="n">
        <x:v>5</x:v>
      </x:c>
      <x:c r="H16" s="22" t="n">
        <x:v>5</x:v>
      </x:c>
      <x:c r="I16" s="22" t="n">
        <x:v>20</x:v>
      </x:c>
    </x:row>
    <x:row r="17">
      <x:c r="A17" s="22" t="str">
        <x:v>Crop / farm management</x:v>
      </x:c>
      <x:c r="B17" s="22" t="n">
        <x:v>3</x:v>
      </x:c>
      <x:c r="C17" s="22" t="n">
        <x:v>4</x:v>
      </x:c>
      <x:c r="D17" s="22" t="n">
        <x:v>1</x:v>
      </x:c>
      <x:c r="E17" s="22" t="n">
        <x:v>3</x:v>
      </x:c>
      <x:c r="F17" s="22" t="n">
        <x:v>4</x:v>
      </x:c>
      <x:c r="G17" s="22" t="n">
        <x:v>1</x:v>
      </x:c>
      <x:c r="H17" s="22" t="n">
        <x:v>1</x:v>
      </x:c>
      <x:c r="I17" s="22" t="n">
        <x:v>8</x:v>
      </x:c>
    </x:row>
    <x:row r="18">
      <x:c r="A18" s="22" t="str">
        <x:v>Livestock / integrated farming</x:v>
      </x:c>
      <x:c r="B18" s="22" t="n">
        <x:v>2</x:v>
      </x:c>
      <x:c r="C18" s="22" t="n">
        <x:v>3</x:v>
      </x:c>
      <x:c r="D18" s="22" t="n">
        <x:v>0</x:v>
      </x:c>
      <x:c r="E18" s="22" t="n">
        <x:v>1</x:v>
      </x:c>
      <x:c r="F18" s="22" t="n">
        <x:v>1</x:v>
      </x:c>
      <x:c r="G18" s="22" t="n">
        <x:v>0</x:v>
      </x:c>
      <x:c r="H18" s="22" t="n">
        <x:v>1</x:v>
      </x:c>
      <x:c r="I18" s="22" t="n">
        <x:v>6</x:v>
      </x:c>
    </x:row>
    <x:row r="19">
      <x:c r="A19" s="22" t="str">
        <x:v>Workforce / robotics / task allocation</x:v>
      </x:c>
      <x:c r="B19" s="22" t="n">
        <x:v>2</x:v>
      </x:c>
      <x:c r="C19" s="22" t="n">
        <x:v>0</x:v>
      </x:c>
      <x:c r="D19" s="22" t="n">
        <x:v>4</x:v>
      </x:c>
      <x:c r="E19" s="22" t="n">
        <x:v>2</x:v>
      </x:c>
      <x:c r="F19" s="22" t="n">
        <x:v>0</x:v>
      </x:c>
      <x:c r="G19" s="22" t="n">
        <x:v>0</x:v>
      </x:c>
      <x:c r="H19" s="22" t="n">
        <x:v>0</x:v>
      </x:c>
      <x:c r="I19" s="22" t="n">
        <x:v>4</x:v>
      </x:c>
    </x:row>
    <x:row r="20">
      <x:c r="A20" s="22" t="str">
        <x:v>Energy / WEF nexus</x:v>
      </x:c>
      <x:c r="B20" s="22" t="n">
        <x:v>2</x:v>
      </x:c>
      <x:c r="C20" s="22" t="n">
        <x:v>1</x:v>
      </x:c>
      <x:c r="D20" s="22" t="n">
        <x:v>1</x:v>
      </x:c>
      <x:c r="E20" s="22" t="n">
        <x:v>1</x:v>
      </x:c>
      <x:c r="F20" s="22" t="n">
        <x:v>0</x:v>
      </x:c>
      <x:c r="G20" s="22" t="n">
        <x:v>2</x:v>
      </x:c>
      <x:c r="H20" s="22" t="n">
        <x:v>0</x:v>
      </x:c>
      <x:c r="I20" s="22" t="n">
        <x:v>3</x:v>
      </x:c>
    </x:row>
    <x:row r="21">
      <x:c r="A21" s="22" t="str">
        <x:v>Soil / nutrient / environmental management</x:v>
      </x:c>
      <x:c r="B21" s="22" t="n">
        <x:v>1</x:v>
      </x:c>
      <x:c r="C21" s="22" t="n">
        <x:v>2</x:v>
      </x:c>
      <x:c r="D21" s="22" t="n">
        <x:v>1</x:v>
      </x:c>
      <x:c r="E21" s="22" t="n">
        <x:v>1</x:v>
      </x:c>
      <x:c r="F21" s="22" t="n">
        <x:v>3</x:v>
      </x:c>
      <x:c r="G21" s="22" t="n">
        <x:v>0</x:v>
      </x:c>
      <x:c r="H21" s="22" t="n">
        <x:v>0</x:v>
      </x:c>
      <x:c r="I21" s="22" t="n">
        <x:v>4</x:v>
      </x:c>
    </x:row>
    <x:row r="23">
      <x:c r="A23" s="36" t="str">
        <x:v>Family-level cells count unique family rows containing both displayed labels. They are evidence-presence counts and can overlap across cells. Heat intensity represents coverage density, not evidence quality.</x:v>
      </x:c>
      <x:c r="B23" s="36"/>
      <x:c r="C23" s="36"/>
      <x:c r="D23" s="36"/>
      <x:c r="E23" s="36"/>
      <x:c r="F23" s="36"/>
      <x:c r="G23" s="36"/>
      <x:c r="H23" s="36"/>
      <x:c r="I23" s="36"/>
    </x:row>
  </x:sheetData>
  <x:mergeCells>
    <x:mergeCell ref="A1:I1"/>
    <x:mergeCell ref="A23:I23"/>
  </x:mergeCells>
  <x:conditionalFormatting sqref="B5:H10">
    <x:cfRule type="colorScale" priority="1">
      <x:colorScale>
        <x:cfvo type="min"/>
        <x:cfvo type="percentile" val="50"/>
        <x:cfvo type="max"/>
        <x:color rgb="FFF4F7FA"/>
        <x:color rgb="FFBCD2E4"/>
        <x:color rgb="FF2F5D7C"/>
      </x:colorScale>
    </x:cfRule>
  </x:conditionalFormatting>
  <x:conditionalFormatting sqref="B16:H21">
    <x:cfRule type="colorScale" priority="2">
      <x:colorScale>
        <x:cfvo type="min"/>
        <x:cfvo type="percentile" val="50"/>
        <x:cfvo type="max"/>
        <x:color rgb="FFF4F7FA"/>
        <x:color rgb="FFBCD2E4"/>
        <x:color rgb="FF2F5D7C"/>
      </x:colorScale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12" hidden="0" customWidth="1"/>
  </x:cols>
  <x:sheetData>
    <x:row r="1" ht="28" customHeight="1">
      <x:c r="A1" s="5" t="str">
        <x:v>Cross-classification: Architecture × Coordination Mechanism</x:v>
      </x:c>
      <x:c r="B1" s="5"/>
      <x:c r="C1" s="5"/>
      <x:c r="D1" s="5"/>
      <x:c r="E1" s="5"/>
      <x:c r="F1" s="5"/>
      <x:c r="G1" s="5"/>
      <x:c r="H1" s="5"/>
      <x:c r="I1" s="5"/>
    </x:row>
    <x:row r="3">
      <x:c r="A3" s="31" t="str">
        <x:v>Publication-level co-occurrence (n=53)</x:v>
      </x:c>
    </x:row>
    <x:row r="4">
      <x:c r="A4" s="14" t="str"/>
      <x:c r="B4" s="14" t="str">
        <x:v>Hierarchical / supervisory</x:v>
      </x:c>
      <x:c r="C4" s="14" t="str">
        <x:v>Environment / shared-resource mediated</x:v>
      </x:c>
      <x:c r="D4" s="14" t="str">
        <x:v>Optimisation / scheduling</x:v>
      </x:c>
      <x:c r="E4" s="14" t="str">
        <x:v>Auction / market</x:v>
      </x:c>
      <x:c r="F4" s="14" t="str">
        <x:v>Peer diffusion / exchange</x:v>
      </x:c>
      <x:c r="G4" s="14" t="str">
        <x:v>Learning / MARL</x:v>
      </x:c>
      <x:c r="H4" s="14" t="str">
        <x:v>Direct negotiation / agreements</x:v>
      </x:c>
      <x:c r="I4" s="14" t="str">
        <x:v>Row total</x:v>
      </x:c>
    </x:row>
    <x:row r="5">
      <x:c r="A5" s="22" t="str">
        <x:v>Decentralised</x:v>
      </x:c>
      <x:c r="B5" s="22" t="n">
        <x:v>0</x:v>
      </x:c>
      <x:c r="C5" s="22" t="n">
        <x:v>9</x:v>
      </x:c>
      <x:c r="D5" s="22" t="n">
        <x:v>2</x:v>
      </x:c>
      <x:c r="E5" s="22" t="n">
        <x:v>5</x:v>
      </x:c>
      <x:c r="F5" s="22" t="n">
        <x:v>7</x:v>
      </x:c>
      <x:c r="G5" s="22" t="n">
        <x:v>2</x:v>
      </x:c>
      <x:c r="H5" s="22" t="n">
        <x:v>5</x:v>
      </x:c>
      <x:c r="I5" s="22" t="n">
        <x:v>17</x:v>
      </x:c>
    </x:row>
    <x:row r="6">
      <x:c r="A6" s="22" t="str">
        <x:v>Hybrid</x:v>
      </x:c>
      <x:c r="B6" s="22" t="n">
        <x:v>7</x:v>
      </x:c>
      <x:c r="C6" s="22" t="n">
        <x:v>5</x:v>
      </x:c>
      <x:c r="D6" s="22" t="n">
        <x:v>3</x:v>
      </x:c>
      <x:c r="E6" s="22" t="n">
        <x:v>5</x:v>
      </x:c>
      <x:c r="F6" s="22" t="n">
        <x:v>4</x:v>
      </x:c>
      <x:c r="G6" s="22" t="n">
        <x:v>5</x:v>
      </x:c>
      <x:c r="H6" s="22" t="n">
        <x:v>1</x:v>
      </x:c>
      <x:c r="I6" s="22" t="n">
        <x:v>13</x:v>
      </x:c>
    </x:row>
    <x:row r="7">
      <x:c r="A7" s="22" t="str">
        <x:v>Hierarchical</x:v>
      </x:c>
      <x:c r="B7" s="22" t="n">
        <x:v>11</x:v>
      </x:c>
      <x:c r="C7" s="22" t="n">
        <x:v>5</x:v>
      </x:c>
      <x:c r="D7" s="22" t="n">
        <x:v>3</x:v>
      </x:c>
      <x:c r="E7" s="22" t="n">
        <x:v>1</x:v>
      </x:c>
      <x:c r="F7" s="22" t="n">
        <x:v>2</x:v>
      </x:c>
      <x:c r="G7" s="22" t="n">
        <x:v>2</x:v>
      </x:c>
      <x:c r="H7" s="22" t="n">
        <x:v>2</x:v>
      </x:c>
      <x:c r="I7" s="22" t="n">
        <x:v>11</x:v>
      </x:c>
    </x:row>
    <x:row r="8">
      <x:c r="A8" s="22" t="str">
        <x:v>Centralised</x:v>
      </x:c>
      <x:c r="B8" s="22" t="n">
        <x:v>7</x:v>
      </x:c>
      <x:c r="C8" s="22" t="n">
        <x:v>0</x:v>
      </x:c>
      <x:c r="D8" s="22" t="n">
        <x:v>7</x:v>
      </x:c>
      <x:c r="E8" s="22" t="n">
        <x:v>3</x:v>
      </x:c>
      <x:c r="F8" s="22" t="n">
        <x:v>0</x:v>
      </x:c>
      <x:c r="G8" s="22" t="n">
        <x:v>0</x:v>
      </x:c>
      <x:c r="H8" s="22" t="n">
        <x:v>0</x:v>
      </x:c>
      <x:c r="I8" s="22" t="n">
        <x:v>10</x:v>
      </x:c>
    </x:row>
    <x:row r="9">
      <x:c r="A9" s="22" t="str">
        <x:v>Distributed</x:v>
      </x:c>
      <x:c r="B9" s="22" t="n">
        <x:v>0</x:v>
      </x:c>
      <x:c r="C9" s="22" t="n">
        <x:v>1</x:v>
      </x:c>
      <x:c r="D9" s="22" t="n">
        <x:v>1</x:v>
      </x:c>
      <x:c r="E9" s="22" t="n">
        <x:v>1</x:v>
      </x:c>
      <x:c r="F9" s="22" t="n">
        <x:v>0</x:v>
      </x:c>
      <x:c r="G9" s="22" t="n">
        <x:v>0</x:v>
      </x:c>
      <x:c r="H9" s="22" t="n">
        <x:v>0</x:v>
      </x:c>
      <x:c r="I9" s="22" t="n">
        <x:v>2</x:v>
      </x:c>
    </x:row>
    <x:row r="13">
      <x:c r="A13" s="31" t="str">
        <x:v>Family-level evidence co-occurrence (44 reconciled families)</x:v>
      </x:c>
    </x:row>
    <x:row r="14">
      <x:c r="A14" s="14" t="str"/>
      <x:c r="B14" s="14" t="str">
        <x:v>Hierarchical / supervisory</x:v>
      </x:c>
      <x:c r="C14" s="14" t="str">
        <x:v>Environment / shared-resource mediated</x:v>
      </x:c>
      <x:c r="D14" s="14" t="str">
        <x:v>Optimisation / scheduling</x:v>
      </x:c>
      <x:c r="E14" s="14" t="str">
        <x:v>Auction / market</x:v>
      </x:c>
      <x:c r="F14" s="14" t="str">
        <x:v>Peer diffusion / exchange</x:v>
      </x:c>
      <x:c r="G14" s="14" t="str">
        <x:v>Learning / MARL</x:v>
      </x:c>
      <x:c r="H14" s="14" t="str">
        <x:v>Direct negotiation / agreements</x:v>
      </x:c>
      <x:c r="I14" s="14" t="str">
        <x:v>Row total</x:v>
      </x:c>
    </x:row>
    <x:row r="15">
      <x:c r="A15" s="22" t="str">
        <x:v>Decentralised</x:v>
      </x:c>
      <x:c r="B15" s="22" t="n">
        <x:v>0</x:v>
      </x:c>
      <x:c r="C15" s="22" t="n">
        <x:v>9</x:v>
      </x:c>
      <x:c r="D15" s="22" t="n">
        <x:v>2</x:v>
      </x:c>
      <x:c r="E15" s="22" t="n">
        <x:v>4</x:v>
      </x:c>
      <x:c r="F15" s="22" t="n">
        <x:v>7</x:v>
      </x:c>
      <x:c r="G15" s="22" t="n">
        <x:v>2</x:v>
      </x:c>
      <x:c r="H15" s="22" t="n">
        <x:v>4</x:v>
      </x:c>
      <x:c r="I15" s="22" t="n">
        <x:v>16</x:v>
      </x:c>
    </x:row>
    <x:row r="16">
      <x:c r="A16" s="22" t="str">
        <x:v>Hybrid</x:v>
      </x:c>
      <x:c r="B16" s="22" t="n">
        <x:v>5</x:v>
      </x:c>
      <x:c r="C16" s="22" t="n">
        <x:v>5</x:v>
      </x:c>
      <x:c r="D16" s="22" t="n">
        <x:v>3</x:v>
      </x:c>
      <x:c r="E16" s="22" t="n">
        <x:v>3</x:v>
      </x:c>
      <x:c r="F16" s="22" t="n">
        <x:v>4</x:v>
      </x:c>
      <x:c r="G16" s="22" t="n">
        <x:v>5</x:v>
      </x:c>
      <x:c r="H16" s="22" t="n">
        <x:v>1</x:v>
      </x:c>
      <x:c r="I16" s="22" t="n">
        <x:v>11</x:v>
      </x:c>
    </x:row>
    <x:row r="17">
      <x:c r="A17" s="22" t="str">
        <x:v>Hierarchical</x:v>
      </x:c>
      <x:c r="B17" s="22" t="n">
        <x:v>9</x:v>
      </x:c>
      <x:c r="C17" s="22" t="n">
        <x:v>4</x:v>
      </x:c>
      <x:c r="D17" s="22" t="n">
        <x:v>3</x:v>
      </x:c>
      <x:c r="E17" s="22" t="n">
        <x:v>1</x:v>
      </x:c>
      <x:c r="F17" s="22" t="n">
        <x:v>2</x:v>
      </x:c>
      <x:c r="G17" s="22" t="n">
        <x:v>1</x:v>
      </x:c>
      <x:c r="H17" s="22" t="n">
        <x:v>2</x:v>
      </x:c>
      <x:c r="I17" s="22" t="n">
        <x:v>9</x:v>
      </x:c>
    </x:row>
    <x:row r="18">
      <x:c r="A18" s="22" t="str">
        <x:v>Centralised</x:v>
      </x:c>
      <x:c r="B18" s="22" t="n">
        <x:v>6</x:v>
      </x:c>
      <x:c r="C18" s="22" t="n">
        <x:v>0</x:v>
      </x:c>
      <x:c r="D18" s="22" t="n">
        <x:v>4</x:v>
      </x:c>
      <x:c r="E18" s="22" t="n">
        <x:v>1</x:v>
      </x:c>
      <x:c r="F18" s="22" t="n">
        <x:v>0</x:v>
      </x:c>
      <x:c r="G18" s="22" t="n">
        <x:v>0</x:v>
      </x:c>
      <x:c r="H18" s="22" t="n">
        <x:v>0</x:v>
      </x:c>
      <x:c r="I18" s="22" t="n">
        <x:v>7</x:v>
      </x:c>
    </x:row>
    <x:row r="19">
      <x:c r="A19" s="22" t="str">
        <x:v>Distributed</x:v>
      </x:c>
      <x:c r="B19" s="22" t="n">
        <x:v>0</x:v>
      </x:c>
      <x:c r="C19" s="22" t="n">
        <x:v>1</x:v>
      </x:c>
      <x:c r="D19" s="22" t="n">
        <x:v>1</x:v>
      </x:c>
      <x:c r="E19" s="22" t="n">
        <x:v>1</x:v>
      </x:c>
      <x:c r="F19" s="22" t="n">
        <x:v>0</x:v>
      </x:c>
      <x:c r="G19" s="22" t="n">
        <x:v>0</x:v>
      </x:c>
      <x:c r="H19" s="22" t="n">
        <x:v>0</x:v>
      </x:c>
      <x:c r="I19" s="22" t="n">
        <x:v>2</x:v>
      </x:c>
    </x:row>
    <x:row r="21">
      <x:c r="A21" s="36" t="str">
        <x:v>Family-level cells count unique family rows containing both displayed labels. They are evidence-presence counts and can overlap across cells. Heat intensity represents coverage density, not evidence quality.</x:v>
      </x:c>
      <x:c r="B21" s="36"/>
      <x:c r="C21" s="36"/>
      <x:c r="D21" s="36"/>
      <x:c r="E21" s="36"/>
      <x:c r="F21" s="36"/>
      <x:c r="G21" s="36"/>
      <x:c r="H21" s="36"/>
      <x:c r="I21" s="36"/>
    </x:row>
  </x:sheetData>
  <x:mergeCells>
    <x:mergeCell ref="A1:I1"/>
    <x:mergeCell ref="A21:I21"/>
  </x:mergeCells>
  <x:conditionalFormatting sqref="B5:H9">
    <x:cfRule type="colorScale" priority="1">
      <x:colorScale>
        <x:cfvo type="min"/>
        <x:cfvo type="percentile" val="50"/>
        <x:cfvo type="max"/>
        <x:color rgb="FFF4F7FA"/>
        <x:color rgb="FFBCD2E4"/>
        <x:color rgb="FF2F5D7C"/>
      </x:colorScale>
    </x:cfRule>
  </x:conditionalFormatting>
  <x:conditionalFormatting sqref="B15:H19">
    <x:cfRule type="colorScale" priority="2">
      <x:colorScale>
        <x:cfvo type="min"/>
        <x:cfvo type="percentile" val="50"/>
        <x:cfvo type="max"/>
        <x:color rgb="FFF4F7FA"/>
        <x:color rgb="FFBCD2E4"/>
        <x:color rgb="FF2F5D7C"/>
      </x:colorScale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12" hidden="0" customWidth="1"/>
  </x:cols>
  <x:sheetData>
    <x:row r="1" ht="28" customHeight="1">
      <x:c r="A1" s="5" t="str">
        <x:v>Cross-classification: Agent Role × Coordination Mechanism</x:v>
      </x:c>
      <x:c r="B1" s="5"/>
      <x:c r="C1" s="5"/>
      <x:c r="D1" s="5"/>
      <x:c r="E1" s="5"/>
      <x:c r="F1" s="5"/>
      <x:c r="G1" s="5"/>
      <x:c r="H1" s="5"/>
      <x:c r="I1" s="5"/>
    </x:row>
    <x:row r="3">
      <x:c r="A3" s="31" t="str">
        <x:v>Publication-level co-occurrence (n=53)</x:v>
      </x:c>
    </x:row>
    <x:row r="4">
      <x:c r="A4" s="14" t="str"/>
      <x:c r="B4" s="14" t="str">
        <x:v>Hierarchical / supervisory</x:v>
      </x:c>
      <x:c r="C4" s="14" t="str">
        <x:v>Environment / shared-resource mediated</x:v>
      </x:c>
      <x:c r="D4" s="14" t="str">
        <x:v>Optimisation / scheduling</x:v>
      </x:c>
      <x:c r="E4" s="14" t="str">
        <x:v>Auction / market</x:v>
      </x:c>
      <x:c r="F4" s="14" t="str">
        <x:v>Peer diffusion / exchange</x:v>
      </x:c>
      <x:c r="G4" s="14" t="str">
        <x:v>Learning / MARL</x:v>
      </x:c>
      <x:c r="H4" s="14" t="str">
        <x:v>Direct negotiation / agreements</x:v>
      </x:c>
      <x:c r="I4" s="14" t="str">
        <x:v>Row total</x:v>
      </x:c>
    </x:row>
    <x:row r="5">
      <x:c r="A5" s="22" t="str">
        <x:v>Farmer / producer</x:v>
      </x:c>
      <x:c r="B5" s="22" t="n">
        <x:v>12</x:v>
      </x:c>
      <x:c r="C5" s="22" t="n">
        <x:v>20</x:v>
      </x:c>
      <x:c r="D5" s="22" t="n">
        <x:v>5</x:v>
      </x:c>
      <x:c r="E5" s="22" t="n">
        <x:v>10</x:v>
      </x:c>
      <x:c r="F5" s="22" t="n">
        <x:v>12</x:v>
      </x:c>
      <x:c r="G5" s="22" t="n">
        <x:v>4</x:v>
      </x:c>
      <x:c r="H5" s="22" t="n">
        <x:v>6</x:v>
      </x:c>
      <x:c r="I5" s="22" t="n">
        <x:v>33</x:v>
      </x:c>
    </x:row>
    <x:row r="6">
      <x:c r="A6" s="22" t="str">
        <x:v>Manager / regulator</x:v>
      </x:c>
      <x:c r="B6" s="22" t="n">
        <x:v>19</x:v>
      </x:c>
      <x:c r="C6" s="22" t="n">
        <x:v>7</x:v>
      </x:c>
      <x:c r="D6" s="22" t="n">
        <x:v>13</x:v>
      </x:c>
      <x:c r="E6" s="22" t="n">
        <x:v>5</x:v>
      </x:c>
      <x:c r="F6" s="22" t="n">
        <x:v>5</x:v>
      </x:c>
      <x:c r="G6" s="22" t="n">
        <x:v>3</x:v>
      </x:c>
      <x:c r="H6" s="22" t="n">
        <x:v>4</x:v>
      </x:c>
      <x:c r="I6" s="22" t="n">
        <x:v>25</x:v>
      </x:c>
    </x:row>
    <x:row r="7">
      <x:c r="A7" s="22" t="str">
        <x:v>Operational / robot</x:v>
      </x:c>
      <x:c r="B7" s="22" t="n">
        <x:v>10</x:v>
      </x:c>
      <x:c r="C7" s="22" t="n">
        <x:v>0</x:v>
      </x:c>
      <x:c r="D7" s="22" t="n">
        <x:v>11</x:v>
      </x:c>
      <x:c r="E7" s="22" t="n">
        <x:v>5</x:v>
      </x:c>
      <x:c r="F7" s="22" t="n">
        <x:v>1</x:v>
      </x:c>
      <x:c r="G7" s="22" t="n">
        <x:v>5</x:v>
      </x:c>
      <x:c r="H7" s="22" t="n">
        <x:v>2</x:v>
      </x:c>
      <x:c r="I7" s="22" t="n">
        <x:v>17</x:v>
      </x:c>
    </x:row>
    <x:row r="8">
      <x:c r="A8" s="22" t="str">
        <x:v>Specialist / advisory</x:v>
      </x:c>
      <x:c r="B8" s="22" t="n">
        <x:v>9</x:v>
      </x:c>
      <x:c r="C8" s="22" t="n">
        <x:v>0</x:v>
      </x:c>
      <x:c r="D8" s="22" t="n">
        <x:v>2</x:v>
      </x:c>
      <x:c r="E8" s="22" t="n">
        <x:v>1</x:v>
      </x:c>
      <x:c r="F8" s="22" t="n">
        <x:v>0</x:v>
      </x:c>
      <x:c r="G8" s="22" t="n">
        <x:v>4</x:v>
      </x:c>
      <x:c r="H8" s="22" t="n">
        <x:v>2</x:v>
      </x:c>
      <x:c r="I8" s="22" t="n">
        <x:v>11</x:v>
      </x:c>
    </x:row>
    <x:row r="9">
      <x:c r="A9" s="22" t="str">
        <x:v>Biophysical representation</x:v>
      </x:c>
      <x:c r="B9" s="22" t="n">
        <x:v>9</x:v>
      </x:c>
      <x:c r="C9" s="22" t="n">
        <x:v>15</x:v>
      </x:c>
      <x:c r="D9" s="22" t="n">
        <x:v>3</x:v>
      </x:c>
      <x:c r="E9" s="22" t="n">
        <x:v>3</x:v>
      </x:c>
      <x:c r="F9" s="22" t="n">
        <x:v>7</x:v>
      </x:c>
      <x:c r="G9" s="22" t="n">
        <x:v>1</x:v>
      </x:c>
      <x:c r="H9" s="22" t="n">
        <x:v>4</x:v>
      </x:c>
      <x:c r="I9" s="22" t="n">
        <x:v>19</x:v>
      </x:c>
    </x:row>
    <x:row r="10">
      <x:c r="A10" s="22" t="str">
        <x:v>Market / trader</x:v>
      </x:c>
      <x:c r="B10" s="22" t="n">
        <x:v>3</x:v>
      </x:c>
      <x:c r="C10" s="22" t="n">
        <x:v>3</x:v>
      </x:c>
      <x:c r="D10" s="22" t="n">
        <x:v>2</x:v>
      </x:c>
      <x:c r="E10" s="22" t="n">
        <x:v>11</x:v>
      </x:c>
      <x:c r="F10" s="22" t="n">
        <x:v>2</x:v>
      </x:c>
      <x:c r="G10" s="22" t="n">
        <x:v>1</x:v>
      </x:c>
      <x:c r="H10" s="22" t="n">
        <x:v>3</x:v>
      </x:c>
      <x:c r="I10" s="22" t="n">
        <x:v>11</x:v>
      </x:c>
    </x:row>
    <x:row r="14">
      <x:c r="A14" s="31" t="str">
        <x:v>Family-level evidence co-occurrence (44 reconciled families)</x:v>
      </x:c>
    </x:row>
    <x:row r="15">
      <x:c r="A15" s="14" t="str"/>
      <x:c r="B15" s="14" t="str">
        <x:v>Hierarchical / supervisory</x:v>
      </x:c>
      <x:c r="C15" s="14" t="str">
        <x:v>Environment / shared-resource mediated</x:v>
      </x:c>
      <x:c r="D15" s="14" t="str">
        <x:v>Optimisation / scheduling</x:v>
      </x:c>
      <x:c r="E15" s="14" t="str">
        <x:v>Auction / market</x:v>
      </x:c>
      <x:c r="F15" s="14" t="str">
        <x:v>Peer diffusion / exchange</x:v>
      </x:c>
      <x:c r="G15" s="14" t="str">
        <x:v>Learning / MARL</x:v>
      </x:c>
      <x:c r="H15" s="14" t="str">
        <x:v>Direct negotiation / agreements</x:v>
      </x:c>
      <x:c r="I15" s="14" t="str">
        <x:v>Row total</x:v>
      </x:c>
    </x:row>
    <x:row r="16">
      <x:c r="A16" s="22" t="str">
        <x:v>Farmer / producer</x:v>
      </x:c>
      <x:c r="B16" s="22" t="n">
        <x:v>8</x:v>
      </x:c>
      <x:c r="C16" s="22" t="n">
        <x:v>18</x:v>
      </x:c>
      <x:c r="D16" s="22" t="n">
        <x:v>4</x:v>
      </x:c>
      <x:c r="E16" s="22" t="n">
        <x:v>7</x:v>
      </x:c>
      <x:c r="F16" s="22" t="n">
        <x:v>12</x:v>
      </x:c>
      <x:c r="G16" s="22" t="n">
        <x:v>4</x:v>
      </x:c>
      <x:c r="H16" s="22" t="n">
        <x:v>5</x:v>
      </x:c>
      <x:c r="I16" s="22" t="n">
        <x:v>28</x:v>
      </x:c>
    </x:row>
    <x:row r="17">
      <x:c r="A17" s="22" t="str">
        <x:v>Manager / regulator</x:v>
      </x:c>
      <x:c r="B17" s="22" t="n">
        <x:v>15</x:v>
      </x:c>
      <x:c r="C17" s="22" t="n">
        <x:v>5</x:v>
      </x:c>
      <x:c r="D17" s="22" t="n">
        <x:v>9</x:v>
      </x:c>
      <x:c r="E17" s="22" t="n">
        <x:v>3</x:v>
      </x:c>
      <x:c r="F17" s="22" t="n">
        <x:v>5</x:v>
      </x:c>
      <x:c r="G17" s="22" t="n">
        <x:v>2</x:v>
      </x:c>
      <x:c r="H17" s="22" t="n">
        <x:v>4</x:v>
      </x:c>
      <x:c r="I17" s="22" t="n">
        <x:v>19</x:v>
      </x:c>
    </x:row>
    <x:row r="18">
      <x:c r="A18" s="22" t="str">
        <x:v>Operational / robot</x:v>
      </x:c>
      <x:c r="B18" s="22" t="n">
        <x:v>8</x:v>
      </x:c>
      <x:c r="C18" s="22" t="n">
        <x:v>0</x:v>
      </x:c>
      <x:c r="D18" s="22" t="n">
        <x:v>8</x:v>
      </x:c>
      <x:c r="E18" s="22" t="n">
        <x:v>3</x:v>
      </x:c>
      <x:c r="F18" s="22" t="n">
        <x:v>1</x:v>
      </x:c>
      <x:c r="G18" s="22" t="n">
        <x:v>4</x:v>
      </x:c>
      <x:c r="H18" s="22" t="n">
        <x:v>2</x:v>
      </x:c>
      <x:c r="I18" s="22" t="n">
        <x:v>13</x:v>
      </x:c>
    </x:row>
    <x:row r="19">
      <x:c r="A19" s="22" t="str">
        <x:v>Specialist / advisory</x:v>
      </x:c>
      <x:c r="B19" s="22" t="n">
        <x:v>9</x:v>
      </x:c>
      <x:c r="C19" s="22" t="n">
        <x:v>0</x:v>
      </x:c>
      <x:c r="D19" s="22" t="n">
        <x:v>2</x:v>
      </x:c>
      <x:c r="E19" s="22" t="n">
        <x:v>1</x:v>
      </x:c>
      <x:c r="F19" s="22" t="n">
        <x:v>0</x:v>
      </x:c>
      <x:c r="G19" s="22" t="n">
        <x:v>4</x:v>
      </x:c>
      <x:c r="H19" s="22" t="n">
        <x:v>2</x:v>
      </x:c>
      <x:c r="I19" s="22" t="n">
        <x:v>11</x:v>
      </x:c>
    </x:row>
    <x:row r="20">
      <x:c r="A20" s="22" t="str">
        <x:v>Biophysical representation</x:v>
      </x:c>
      <x:c r="B20" s="22" t="n">
        <x:v>7</x:v>
      </x:c>
      <x:c r="C20" s="22" t="n">
        <x:v>13</x:v>
      </x:c>
      <x:c r="D20" s="22" t="n">
        <x:v>2</x:v>
      </x:c>
      <x:c r="E20" s="22" t="n">
        <x:v>3</x:v>
      </x:c>
      <x:c r="F20" s="22" t="n">
        <x:v>7</x:v>
      </x:c>
      <x:c r="G20" s="22" t="n">
        <x:v>1</x:v>
      </x:c>
      <x:c r="H20" s="22" t="n">
        <x:v>4</x:v>
      </x:c>
      <x:c r="I20" s="22" t="n">
        <x:v>17</x:v>
      </x:c>
    </x:row>
    <x:row r="21">
      <x:c r="A21" s="22" t="str">
        <x:v>Market / trader</x:v>
      </x:c>
      <x:c r="B21" s="22" t="n">
        <x:v>1</x:v>
      </x:c>
      <x:c r="C21" s="22" t="n">
        <x:v>3</x:v>
      </x:c>
      <x:c r="D21" s="22" t="n">
        <x:v>2</x:v>
      </x:c>
      <x:c r="E21" s="22" t="n">
        <x:v>8</x:v>
      </x:c>
      <x:c r="F21" s="22" t="n">
        <x:v>2</x:v>
      </x:c>
      <x:c r="G21" s="22" t="n">
        <x:v>1</x:v>
      </x:c>
      <x:c r="H21" s="22" t="n">
        <x:v>2</x:v>
      </x:c>
      <x:c r="I21" s="22" t="n">
        <x:v>8</x:v>
      </x:c>
    </x:row>
    <x:row r="23">
      <x:c r="A23" s="36" t="str">
        <x:v>Family-level cells count unique family rows containing both displayed labels. They are evidence-presence counts and can overlap across cells. Heat intensity represents coverage density, not evidence quality.</x:v>
      </x:c>
      <x:c r="B23" s="36"/>
      <x:c r="C23" s="36"/>
      <x:c r="D23" s="36"/>
      <x:c r="E23" s="36"/>
      <x:c r="F23" s="36"/>
      <x:c r="G23" s="36"/>
      <x:c r="H23" s="36"/>
      <x:c r="I23" s="36"/>
    </x:row>
  </x:sheetData>
  <x:mergeCells>
    <x:mergeCell ref="A1:I1"/>
    <x:mergeCell ref="A23:I23"/>
  </x:mergeCells>
  <x:conditionalFormatting sqref="B5:H10">
    <x:cfRule type="colorScale" priority="1">
      <x:colorScale>
        <x:cfvo type="min"/>
        <x:cfvo type="percentile" val="50"/>
        <x:cfvo type="max"/>
        <x:color rgb="FFF4F7FA"/>
        <x:color rgb="FFBCD2E4"/>
        <x:color rgb="FF2F5D7C"/>
      </x:colorScale>
    </x:cfRule>
  </x:conditionalFormatting>
  <x:conditionalFormatting sqref="B16:H21">
    <x:cfRule type="colorScale" priority="2">
      <x:colorScale>
        <x:cfvo type="min"/>
        <x:cfvo type="percentile" val="50"/>
        <x:cfvo type="max"/>
        <x:color rgb="FFF4F7FA"/>
        <x:color rgb="FFBCD2E4"/>
        <x:color rgb="FF2F5D7C"/>
      </x:colorScale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4" hidden="0" customWidth="1"/>
    <x:col min="2" max="2" width="12" hidden="0" customWidth="1"/>
    <x:col min="3" max="3" width="10" hidden="0" customWidth="1"/>
    <x:col min="4" max="4" width="11" hidden="0" customWidth="1"/>
    <x:col min="5" max="5" width="13" hidden="0" customWidth="1"/>
    <x:col min="6" max="6" width="13" hidden="0" customWidth="1"/>
    <x:col min="7" max="7" width="18" hidden="0" customWidth="1"/>
    <x:col min="8" max="8" width="22" hidden="0" customWidth="1"/>
    <x:col min="9" max="9" width="20" hidden="0" customWidth="1"/>
    <x:col min="10" max="10" width="14" hidden="0" customWidth="1"/>
    <x:col min="11" max="11" width="11" hidden="0" customWidth="1"/>
    <x:col min="12" max="12" width="10" hidden="0" customWidth="1"/>
    <x:col min="13" max="13" width="10" hidden="0" customWidth="1"/>
    <x:col min="14" max="14" width="35" hidden="0" customWidth="1"/>
    <x:col min="15" max="15" width="65" hidden="0" customWidth="1"/>
  </x:cols>
  <x:sheetData>
    <x:row r="1" ht="28" customHeight="1">
      <x:c r="A1" s="5" t="str">
        <x:v>Evidence Profile by Agricultural Domain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3">
      <x:c r="A3" s="14" t="str">
        <x:v>Primary domain</x:v>
      </x:c>
      <x:c r="B3" s="14" t="str">
        <x:v>Publications</x:v>
      </x:c>
      <x:c r="C3" s="14" t="str">
        <x:v>Families</x:v>
      </x:c>
      <x:c r="D3" s="14" t="str">
        <x:v>Mean QA</x:v>
      </x:c>
      <x:c r="E3" s="14" t="str">
        <x:v>Simulation pubs</x:v>
      </x:c>
      <x:c r="F3" s="14" t="str">
        <x:v>Simulation %</x:v>
      </x:c>
      <x:c r="G3" s="14" t="str">
        <x:v>Non-simulation pubs</x:v>
      </x:c>
      <x:c r="H3" s="14" t="str">
        <x:v>Direct sustainability pubs</x:v>
      </x:c>
      <x:c r="I3" s="14" t="str">
        <x:v>Direct sustainability %</x:v>
      </x:c>
      <x:c r="J3" s="14" t="str">
        <x:v>Favourable pubs</x:v>
      </x:c>
      <x:c r="K3" s="14" t="str">
        <x:v>Mixed pubs</x:v>
      </x:c>
      <x:c r="L3" s="14" t="str">
        <x:v>Code yes</x:v>
      </x:c>
      <x:c r="M3" s="14" t="str">
        <x:v>Data yes</x:v>
      </x:c>
      <x:c r="N3" s="14" t="str">
        <x:v>Dominant architecture</x:v>
      </x:c>
      <x:c r="O3" s="14" t="str">
        <x:v>Dominant coordination mechanisms</x:v>
      </x:c>
    </x:row>
    <x:row r="4">
      <x:c r="A4" s="22" t="str">
        <x:v>Irrigation / water management</x:v>
      </x:c>
      <x:c r="B4" s="22" t="n">
        <x:v>24</x:v>
      </x:c>
      <x:c r="C4" s="22" t="n">
        <x:v>20</x:v>
      </x:c>
      <x:c r="D4" s="22" t="n">
        <x:v>13.12</x:v>
      </x:c>
      <x:c r="E4" s="22" t="n">
        <x:v>23</x:v>
      </x:c>
      <x:c r="F4" s="26" t="n">
        <x:f>E4/B4</x:f>
        <x:v>0.9583333333333334</x:v>
      </x:c>
      <x:c r="G4" s="22" t="n">
        <x:v>1</x:v>
      </x:c>
      <x:c r="H4" s="22" t="n">
        <x:v>23</x:v>
      </x:c>
      <x:c r="I4" s="26" t="n">
        <x:f>H4/B4</x:f>
        <x:v>0.9583333333333334</x:v>
      </x:c>
      <x:c r="J4" s="22" t="n">
        <x:v>10</x:v>
      </x:c>
      <x:c r="K4" s="22" t="n">
        <x:v>11</x:v>
      </x:c>
      <x:c r="L4" s="22" t="n">
        <x:v>2</x:v>
      </x:c>
      <x:c r="M4" s="22" t="n">
        <x:v>5</x:v>
      </x:c>
      <x:c r="N4" s="22" t="str">
        <x:v>Decentralised (8), Hierarchical (8)</x:v>
      </x:c>
      <x:c r="O4" s="22" t="str">
        <x:v>Hierarchical / supervisory (13), Environment / shared-resource mediated (10), Optimisation / scheduling (7)</x:v>
      </x:c>
    </x:row>
    <x:row r="5">
      <x:c r="A5" s="22" t="str">
        <x:v>Crop / farm management</x:v>
      </x:c>
      <x:c r="B5" s="22" t="n">
        <x:v>8</x:v>
      </x:c>
      <x:c r="C5" s="22" t="n">
        <x:v>8</x:v>
      </x:c>
      <x:c r="D5" s="22" t="n">
        <x:v>12.5</x:v>
      </x:c>
      <x:c r="E5" s="22" t="n">
        <x:v>7</x:v>
      </x:c>
      <x:c r="F5" s="26" t="n">
        <x:f>E5/B5</x:f>
        <x:v>0.875</x:v>
      </x:c>
      <x:c r="G5" s="22" t="n">
        <x:v>1</x:v>
      </x:c>
      <x:c r="H5" s="22" t="n">
        <x:v>6</x:v>
      </x:c>
      <x:c r="I5" s="26" t="n">
        <x:f>H5/B5</x:f>
        <x:v>0.75</x:v>
      </x:c>
      <x:c r="J5" s="22" t="n">
        <x:v>3</x:v>
      </x:c>
      <x:c r="K5" s="22" t="n">
        <x:v>4</x:v>
      </x:c>
      <x:c r="L5" s="22" t="n">
        <x:v>2</x:v>
      </x:c>
      <x:c r="M5" s="22" t="n">
        <x:v>3</x:v>
      </x:c>
      <x:c r="N5" s="22" t="str">
        <x:v>Hybrid (4), Decentralised (3)</x:v>
      </x:c>
      <x:c r="O5" s="22" t="str">
        <x:v>Environment / shared-resource mediated (4), Peer diffusion / exchange (4), Auction / market (3)</x:v>
      </x:c>
    </x:row>
    <x:row r="6">
      <x:c r="A6" s="22" t="str">
        <x:v>Livestock / integrated farming</x:v>
      </x:c>
      <x:c r="B6" s="22" t="n">
        <x:v>6</x:v>
      </x:c>
      <x:c r="C6" s="22" t="n">
        <x:v>6</x:v>
      </x:c>
      <x:c r="D6" s="22" t="n">
        <x:v>12</x:v>
      </x:c>
      <x:c r="E6" s="22" t="n">
        <x:v>4</x:v>
      </x:c>
      <x:c r="F6" s="26" t="n">
        <x:f>E6/B6</x:f>
        <x:v>0.6666666666666666</x:v>
      </x:c>
      <x:c r="G6" s="22" t="n">
        <x:v>2</x:v>
      </x:c>
      <x:c r="H6" s="22" t="n">
        <x:v>3</x:v>
      </x:c>
      <x:c r="I6" s="26" t="n">
        <x:f>H6/B6</x:f>
        <x:v>0.5</x:v>
      </x:c>
      <x:c r="J6" s="22" t="n">
        <x:v>0</x:v>
      </x:c>
      <x:c r="K6" s="22" t="n">
        <x:v>2</x:v>
      </x:c>
      <x:c r="L6" s="22" t="n">
        <x:v>1</x:v>
      </x:c>
      <x:c r="M6" s="22" t="n">
        <x:v>2</x:v>
      </x:c>
      <x:c r="N6" s="22" t="str">
        <x:v>Decentralised (3), Centralised (2)</x:v>
      </x:c>
      <x:c r="O6" s="22" t="str">
        <x:v>Environment / shared-resource mediated (3), Hierarchical / supervisory (2), Auction / market (1)</x:v>
      </x:c>
    </x:row>
    <x:row r="7">
      <x:c r="A7" s="22" t="str">
        <x:v>Workforce / robotics / task allocation</x:v>
      </x:c>
      <x:c r="B7" s="22" t="n">
        <x:v>6</x:v>
      </x:c>
      <x:c r="C7" s="22" t="n">
        <x:v>4</x:v>
      </x:c>
      <x:c r="D7" s="22" t="n">
        <x:v>13</x:v>
      </x:c>
      <x:c r="E7" s="22" t="n">
        <x:v>3</x:v>
      </x:c>
      <x:c r="F7" s="26" t="n">
        <x:f>E7/B7</x:f>
        <x:v>0.5</x:v>
      </x:c>
      <x:c r="G7" s="22" t="n">
        <x:v>3</x:v>
      </x:c>
      <x:c r="H7" s="22" t="n">
        <x:v>0</x:v>
      </x:c>
      <x:c r="I7" s="26" t="n">
        <x:f>H7/B7</x:f>
        <x:v>0</x:v>
      </x:c>
      <x:c r="J7" s="22" t="n">
        <x:v>5</x:v>
      </x:c>
      <x:c r="K7" s="22" t="n">
        <x:v>1</x:v>
      </x:c>
      <x:c r="L7" s="22" t="n">
        <x:v>0</x:v>
      </x:c>
      <x:c r="M7" s="22" t="n">
        <x:v>1</x:v>
      </x:c>
      <x:c r="N7" s="22" t="str">
        <x:v>Centralised (5), Decentralised (1)</x:v>
      </x:c>
      <x:c r="O7" s="22" t="str">
        <x:v>Optimisation / scheduling (6), Auction / market (4), Hierarchical / supervisory (2)</x:v>
      </x:c>
    </x:row>
    <x:row r="8">
      <x:c r="A8" s="22" t="str">
        <x:v>Energy / WEF nexus</x:v>
      </x:c>
      <x:c r="B8" s="22" t="n">
        <x:v>5</x:v>
      </x:c>
      <x:c r="C8" s="22" t="n">
        <x:v>3</x:v>
      </x:c>
      <x:c r="D8" s="22" t="n">
        <x:v>13.2</x:v>
      </x:c>
      <x:c r="E8" s="22" t="n">
        <x:v>5</x:v>
      </x:c>
      <x:c r="F8" s="26" t="n">
        <x:f>E8/B8</x:f>
        <x:v>1</x:v>
      </x:c>
      <x:c r="G8" s="22" t="n">
        <x:v>0</x:v>
      </x:c>
      <x:c r="H8" s="22" t="n">
        <x:v>3</x:v>
      </x:c>
      <x:c r="I8" s="26" t="n">
        <x:f>H8/B8</x:f>
        <x:v>0.6</x:v>
      </x:c>
      <x:c r="J8" s="22" t="n">
        <x:v>4</x:v>
      </x:c>
      <x:c r="K8" s="22" t="n">
        <x:v>1</x:v>
      </x:c>
      <x:c r="L8" s="22" t="n">
        <x:v>0</x:v>
      </x:c>
      <x:c r="M8" s="22" t="n">
        <x:v>1</x:v>
      </x:c>
      <x:c r="N8" s="22" t="str">
        <x:v>Hybrid (4), Hierarchical (1)</x:v>
      </x:c>
      <x:c r="O8" s="22" t="str">
        <x:v>Hierarchical / supervisory (4), Auction / market (3), Learning / MARL (2)</x:v>
      </x:c>
    </x:row>
    <x:row r="9">
      <x:c r="A9" s="22" t="str">
        <x:v>Soil / nutrient / environmental management</x:v>
      </x:c>
      <x:c r="B9" s="22" t="n">
        <x:v>4</x:v>
      </x:c>
      <x:c r="C9" s="22" t="n">
        <x:v>4</x:v>
      </x:c>
      <x:c r="D9" s="22" t="n">
        <x:v>13.75</x:v>
      </x:c>
      <x:c r="E9" s="22" t="n">
        <x:v>4</x:v>
      </x:c>
      <x:c r="F9" s="26" t="n">
        <x:f>E9/B9</x:f>
        <x:v>1</x:v>
      </x:c>
      <x:c r="G9" s="22" t="n">
        <x:v>0</x:v>
      </x:c>
      <x:c r="H9" s="22" t="n">
        <x:v>4</x:v>
      </x:c>
      <x:c r="I9" s="26" t="n">
        <x:f>H9/B9</x:f>
        <x:v>1</x:v>
      </x:c>
      <x:c r="J9" s="22" t="n">
        <x:v>2</x:v>
      </x:c>
      <x:c r="K9" s="22" t="n">
        <x:v>2</x:v>
      </x:c>
      <x:c r="L9" s="22" t="n">
        <x:v>3</x:v>
      </x:c>
      <x:c r="M9" s="22" t="n">
        <x:v>2</x:v>
      </x:c>
      <x:c r="N9" s="22" t="str">
        <x:v>Decentralised (2), Hierarchical (1)</x:v>
      </x:c>
      <x:c r="O9" s="22" t="str">
        <x:v>Peer diffusion / exchange (3), Environment / shared-resource mediated (2), Auction / market (1)</x:v>
      </x:c>
    </x:row>
    <x:row r="12">
      <x:c r="A12" s="40" t="str">
        <x:v>Publication-level maturity by domain</x:v>
      </x:c>
    </x:row>
    <x:row r="13">
      <x:c r="A13" s="14" t="str">
        <x:v>Domain</x:v>
      </x:c>
      <x:c r="B13" s="14" t="str">
        <x:v>Simulation</x:v>
      </x:c>
      <x:c r="C13" s="14" t="str">
        <x:v>Prototype</x:v>
      </x:c>
      <x:c r="D13" s="14" t="str">
        <x:v>Field pilot</x:v>
      </x:c>
      <x:c r="E13" s="14" t="str">
        <x:v>Controlled experiment</x:v>
      </x:c>
      <x:c r="F13" s="14" t="str">
        <x:v>Total</x:v>
      </x:c>
    </x:row>
    <x:row r="14">
      <x:c r="A14" t="str">
        <x:v>Irrigation / water management</x:v>
      </x:c>
      <x:c r="B14" t="n">
        <x:v>23</x:v>
      </x:c>
      <x:c r="C14" t="n">
        <x:v>0</x:v>
      </x:c>
      <x:c r="D14" t="n">
        <x:v>1</x:v>
      </x:c>
      <x:c r="E14" t="n">
        <x:v>0</x:v>
      </x:c>
      <x:c r="F14" t="n">
        <x:v>24</x:v>
      </x:c>
    </x:row>
    <x:row r="15">
      <x:c r="A15" t="str">
        <x:v>Crop / farm management</x:v>
      </x:c>
      <x:c r="B15" t="n">
        <x:v>7</x:v>
      </x:c>
      <x:c r="C15" t="n">
        <x:v>0</x:v>
      </x:c>
      <x:c r="D15" t="n">
        <x:v>1</x:v>
      </x:c>
      <x:c r="E15" t="n">
        <x:v>0</x:v>
      </x:c>
      <x:c r="F15" t="n">
        <x:v>8</x:v>
      </x:c>
    </x:row>
    <x:row r="16">
      <x:c r="A16" t="str">
        <x:v>Livestock / integrated farming</x:v>
      </x:c>
      <x:c r="B16" t="n">
        <x:v>4</x:v>
      </x:c>
      <x:c r="C16" t="n">
        <x:v>2</x:v>
      </x:c>
      <x:c r="D16" t="n">
        <x:v>0</x:v>
      </x:c>
      <x:c r="E16" t="n">
        <x:v>0</x:v>
      </x:c>
      <x:c r="F16" t="n">
        <x:v>6</x:v>
      </x:c>
    </x:row>
    <x:row r="17">
      <x:c r="A17" t="str">
        <x:v>Workforce / robotics / task allocation</x:v>
      </x:c>
      <x:c r="B17" t="n">
        <x:v>3</x:v>
      </x:c>
      <x:c r="C17" t="n">
        <x:v>2</x:v>
      </x:c>
      <x:c r="D17" t="n">
        <x:v>0</x:v>
      </x:c>
      <x:c r="E17" t="n">
        <x:v>1</x:v>
      </x:c>
      <x:c r="F17" t="n">
        <x:v>6</x:v>
      </x:c>
    </x:row>
    <x:row r="18">
      <x:c r="A18" t="str">
        <x:v>Energy / WEF nexus</x:v>
      </x:c>
      <x:c r="B18" t="n">
        <x:v>5</x:v>
      </x:c>
      <x:c r="C18" t="n">
        <x:v>0</x:v>
      </x:c>
      <x:c r="D18" t="n">
        <x:v>0</x:v>
      </x:c>
      <x:c r="E18" t="n">
        <x:v>0</x:v>
      </x:c>
      <x:c r="F18" t="n">
        <x:v>5</x:v>
      </x:c>
    </x:row>
    <x:row r="19">
      <x:c r="A19" t="str">
        <x:v>Soil / nutrient / environmental management</x:v>
      </x:c>
      <x:c r="B19" t="n">
        <x:v>4</x:v>
      </x:c>
      <x:c r="C19" t="n">
        <x:v>0</x:v>
      </x:c>
      <x:c r="D19" t="n">
        <x:v>0</x:v>
      </x:c>
      <x:c r="E19" t="n">
        <x:v>0</x:v>
      </x:c>
      <x:c r="F19" t="n">
        <x:v>4</x:v>
      </x:c>
    </x:row>
    <x:row r="23">
      <x:c r="A23" s="40" t="str">
        <x:v>Publication-level RQ3 outcome direction by domain</x:v>
      </x:c>
    </x:row>
    <x:row r="24">
      <x:c r="A24" s="14" t="str">
        <x:v>Domain</x:v>
      </x:c>
      <x:c r="B24" s="14" t="str">
        <x:v>Favourable / conditional</x:v>
      </x:c>
      <x:c r="C24" s="14" t="str">
        <x:v>Mixed / trade-off</x:v>
      </x:c>
      <x:c r="D24" s="14" t="str">
        <x:v>Descriptive / feasibility</x:v>
      </x:c>
      <x:c r="E24" s="14" t="str">
        <x:v>No direct outcome</x:v>
      </x:c>
      <x:c r="F24" s="14" t="str">
        <x:v>Total</x:v>
      </x:c>
    </x:row>
    <x:row r="25">
      <x:c r="A25" t="str">
        <x:v>Irrigation / water management</x:v>
      </x:c>
      <x:c r="B25" t="n">
        <x:v>10</x:v>
      </x:c>
      <x:c r="C25" t="n">
        <x:v>11</x:v>
      </x:c>
      <x:c r="D25" t="n">
        <x:v>3</x:v>
      </x:c>
      <x:c r="E25" t="n">
        <x:v>0</x:v>
      </x:c>
      <x:c r="F25" t="n">
        <x:v>24</x:v>
      </x:c>
    </x:row>
    <x:row r="26">
      <x:c r="A26" t="str">
        <x:v>Crop / farm management</x:v>
      </x:c>
      <x:c r="B26" t="n">
        <x:v>3</x:v>
      </x:c>
      <x:c r="C26" t="n">
        <x:v>4</x:v>
      </x:c>
      <x:c r="D26" t="n">
        <x:v>1</x:v>
      </x:c>
      <x:c r="E26" t="n">
        <x:v>0</x:v>
      </x:c>
      <x:c r="F26" t="n">
        <x:v>8</x:v>
      </x:c>
    </x:row>
    <x:row r="27">
      <x:c r="A27" t="str">
        <x:v>Livestock / integrated farming</x:v>
      </x:c>
      <x:c r="B27" t="n">
        <x:v>0</x:v>
      </x:c>
      <x:c r="C27" t="n">
        <x:v>2</x:v>
      </x:c>
      <x:c r="D27" t="n">
        <x:v>3</x:v>
      </x:c>
      <x:c r="E27" t="n">
        <x:v>1</x:v>
      </x:c>
      <x:c r="F27" t="n">
        <x:v>6</x:v>
      </x:c>
    </x:row>
    <x:row r="28">
      <x:c r="A28" t="str">
        <x:v>Workforce / robotics / task allocation</x:v>
      </x:c>
      <x:c r="B28" t="n">
        <x:v>5</x:v>
      </x:c>
      <x:c r="C28" t="n">
        <x:v>1</x:v>
      </x:c>
      <x:c r="D28" t="n">
        <x:v>0</x:v>
      </x:c>
      <x:c r="E28" t="n">
        <x:v>0</x:v>
      </x:c>
      <x:c r="F28" t="n">
        <x:v>6</x:v>
      </x:c>
    </x:row>
    <x:row r="29">
      <x:c r="A29" t="str">
        <x:v>Energy / WEF nexus</x:v>
      </x:c>
      <x:c r="B29" t="n">
        <x:v>4</x:v>
      </x:c>
      <x:c r="C29" t="n">
        <x:v>1</x:v>
      </x:c>
      <x:c r="D29" t="n">
        <x:v>0</x:v>
      </x:c>
      <x:c r="E29" t="n">
        <x:v>0</x:v>
      </x:c>
      <x:c r="F29" t="n">
        <x:v>5</x:v>
      </x:c>
    </x:row>
    <x:row r="30">
      <x:c r="A30" t="str">
        <x:v>Soil / nutrient / environmental management</x:v>
      </x:c>
      <x:c r="B30" t="n">
        <x:v>2</x:v>
      </x:c>
      <x:c r="C30" t="n">
        <x:v>2</x:v>
      </x:c>
      <x:c r="D30" t="n">
        <x:v>0</x:v>
      </x:c>
      <x:c r="E30" t="n">
        <x:v>0</x:v>
      </x:c>
      <x:c r="F30" t="n">
        <x:v>4</x:v>
      </x:c>
    </x:row>
    <x:row r="33">
      <x:c r="A33" s="40" t="str">
        <x:v>Family-level maturity evidence by domain</x:v>
      </x:c>
    </x:row>
    <x:row r="34">
      <x:c r="A34" s="14" t="str">
        <x:v>Domain</x:v>
      </x:c>
      <x:c r="B34" s="14" t="str">
        <x:v>Simulation</x:v>
      </x:c>
      <x:c r="C34" s="14" t="str">
        <x:v>Prototype</x:v>
      </x:c>
      <x:c r="D34" s="14" t="str">
        <x:v>Field pilot</x:v>
      </x:c>
      <x:c r="E34" s="14" t="str">
        <x:v>Controlled experiment</x:v>
      </x:c>
      <x:c r="F34" s="14" t="str">
        <x:v>Families</x:v>
      </x:c>
    </x:row>
    <x:row r="35">
      <x:c r="A35" s="22" t="str">
        <x:v>Irrigation / water management</x:v>
      </x:c>
      <x:c r="B35" s="22" t="n">
        <x:v>19</x:v>
      </x:c>
      <x:c r="C35" s="22" t="n">
        <x:v>0</x:v>
      </x:c>
      <x:c r="D35" s="22" t="n">
        <x:v>1</x:v>
      </x:c>
      <x:c r="E35" s="22" t="n">
        <x:v>0</x:v>
      </x:c>
      <x:c r="F35" s="22" t="n">
        <x:v>20</x:v>
      </x:c>
    </x:row>
    <x:row r="36">
      <x:c r="A36" s="22" t="str">
        <x:v>Crop / farm management</x:v>
      </x:c>
      <x:c r="B36" s="22" t="n">
        <x:v>7</x:v>
      </x:c>
      <x:c r="C36" s="22" t="n">
        <x:v>0</x:v>
      </x:c>
      <x:c r="D36" s="22" t="n">
        <x:v>1</x:v>
      </x:c>
      <x:c r="E36" s="22" t="n">
        <x:v>0</x:v>
      </x:c>
      <x:c r="F36" s="22" t="n">
        <x:v>8</x:v>
      </x:c>
    </x:row>
    <x:row r="37">
      <x:c r="A37" s="22" t="str">
        <x:v>Livestock / integrated farming</x:v>
      </x:c>
      <x:c r="B37" s="22" t="n">
        <x:v>4</x:v>
      </x:c>
      <x:c r="C37" s="22" t="n">
        <x:v>2</x:v>
      </x:c>
      <x:c r="D37" s="22" t="n">
        <x:v>0</x:v>
      </x:c>
      <x:c r="E37" s="22" t="n">
        <x:v>0</x:v>
      </x:c>
      <x:c r="F37" s="22" t="n">
        <x:v>6</x:v>
      </x:c>
    </x:row>
    <x:row r="38">
      <x:c r="A38" s="22" t="str">
        <x:v>Workforce / robotics / task allocation</x:v>
      </x:c>
      <x:c r="B38" s="22" t="n">
        <x:v>3</x:v>
      </x:c>
      <x:c r="C38" s="22" t="n">
        <x:v>1</x:v>
      </x:c>
      <x:c r="D38" s="22" t="n">
        <x:v>0</x:v>
      </x:c>
      <x:c r="E38" s="22" t="n">
        <x:v>1</x:v>
      </x:c>
      <x:c r="F38" s="22" t="n">
        <x:v>4</x:v>
      </x:c>
    </x:row>
    <x:row r="39">
      <x:c r="A39" s="22" t="str">
        <x:v>Energy / WEF nexus</x:v>
      </x:c>
      <x:c r="B39" s="22" t="n">
        <x:v>3</x:v>
      </x:c>
      <x:c r="C39" s="22" t="n">
        <x:v>0</x:v>
      </x:c>
      <x:c r="D39" s="22" t="n">
        <x:v>0</x:v>
      </x:c>
      <x:c r="E39" s="22" t="n">
        <x:v>0</x:v>
      </x:c>
      <x:c r="F39" s="22" t="n">
        <x:v>3</x:v>
      </x:c>
    </x:row>
    <x:row r="40">
      <x:c r="A40" s="22" t="str">
        <x:v>Soil / nutrient / environmental management</x:v>
      </x:c>
      <x:c r="B40" s="22" t="n">
        <x:v>4</x:v>
      </x:c>
      <x:c r="C40" s="22" t="n">
        <x:v>0</x:v>
      </x:c>
      <x:c r="D40" s="22" t="n">
        <x:v>0</x:v>
      </x:c>
      <x:c r="E40" s="22" t="n">
        <x:v>0</x:v>
      </x:c>
      <x:c r="F40" s="22" t="n">
        <x:v>4</x:v>
      </x:c>
    </x:row>
    <x:row r="42">
      <x:c r="A42" s="40" t="str">
        <x:v>Family-level outcome-direction evidence by domain</x:v>
      </x:c>
    </x:row>
    <x:row r="43">
      <x:c r="A43" s="14" t="str">
        <x:v>Domain</x:v>
      </x:c>
      <x:c r="B43" s="14" t="str">
        <x:v>Favourable / conditional</x:v>
      </x:c>
      <x:c r="C43" s="14" t="str">
        <x:v>Mixed / trade-off</x:v>
      </x:c>
      <x:c r="D43" s="14" t="str">
        <x:v>Descriptive / feasibility</x:v>
      </x:c>
      <x:c r="E43" s="14" t="str">
        <x:v>No direct outcome</x:v>
      </x:c>
      <x:c r="F43" s="14" t="str">
        <x:v>Families</x:v>
      </x:c>
    </x:row>
    <x:row r="44">
      <x:c r="A44" s="22" t="str">
        <x:v>Irrigation / water management</x:v>
      </x:c>
      <x:c r="B44" s="22" t="n">
        <x:v>8</x:v>
      </x:c>
      <x:c r="C44" s="22" t="n">
        <x:v>11</x:v>
      </x:c>
      <x:c r="D44" s="22" t="n">
        <x:v>2</x:v>
      </x:c>
      <x:c r="E44" s="22" t="n">
        <x:v>0</x:v>
      </x:c>
      <x:c r="F44" s="22" t="n">
        <x:v>20</x:v>
      </x:c>
    </x:row>
    <x:row r="45">
      <x:c r="A45" s="22" t="str">
        <x:v>Crop / farm management</x:v>
      </x:c>
      <x:c r="B45" s="22" t="n">
        <x:v>3</x:v>
      </x:c>
      <x:c r="C45" s="22" t="n">
        <x:v>4</x:v>
      </x:c>
      <x:c r="D45" s="22" t="n">
        <x:v>1</x:v>
      </x:c>
      <x:c r="E45" s="22" t="n">
        <x:v>0</x:v>
      </x:c>
      <x:c r="F45" s="22" t="n">
        <x:v>8</x:v>
      </x:c>
    </x:row>
    <x:row r="46">
      <x:c r="A46" s="22" t="str">
        <x:v>Livestock / integrated farming</x:v>
      </x:c>
      <x:c r="B46" s="22" t="n">
        <x:v>0</x:v>
      </x:c>
      <x:c r="C46" s="22" t="n">
        <x:v>2</x:v>
      </x:c>
      <x:c r="D46" s="22" t="n">
        <x:v>3</x:v>
      </x:c>
      <x:c r="E46" s="22" t="n">
        <x:v>1</x:v>
      </x:c>
      <x:c r="F46" s="22" t="n">
        <x:v>6</x:v>
      </x:c>
    </x:row>
    <x:row r="47">
      <x:c r="A47" s="22" t="str">
        <x:v>Workforce / robotics / task allocation</x:v>
      </x:c>
      <x:c r="B47" s="22" t="n">
        <x:v>4</x:v>
      </x:c>
      <x:c r="C47" s="22" t="n">
        <x:v>1</x:v>
      </x:c>
      <x:c r="D47" s="22" t="n">
        <x:v>0</x:v>
      </x:c>
      <x:c r="E47" s="22" t="n">
        <x:v>0</x:v>
      </x:c>
      <x:c r="F47" s="22" t="n">
        <x:v>4</x:v>
      </x:c>
    </x:row>
    <x:row r="48">
      <x:c r="A48" s="22" t="str">
        <x:v>Energy / WEF nexus</x:v>
      </x:c>
      <x:c r="B48" s="22" t="n">
        <x:v>2</x:v>
      </x:c>
      <x:c r="C48" s="22" t="n">
        <x:v>1</x:v>
      </x:c>
      <x:c r="D48" s="22" t="n">
        <x:v>0</x:v>
      </x:c>
      <x:c r="E48" s="22" t="n">
        <x:v>0</x:v>
      </x:c>
      <x:c r="F48" s="22" t="n">
        <x:v>3</x:v>
      </x:c>
    </x:row>
    <x:row r="49">
      <x:c r="A49" s="22" t="str">
        <x:v>Soil / nutrient / environmental management</x:v>
      </x:c>
      <x:c r="B49" s="22" t="n">
        <x:v>2</x:v>
      </x:c>
      <x:c r="C49" s="22" t="n">
        <x:v>2</x:v>
      </x:c>
      <x:c r="D49" s="22" t="n">
        <x:v>0</x:v>
      </x:c>
      <x:c r="E49" s="22" t="n">
        <x:v>0</x:v>
      </x:c>
      <x:c r="F49" s="22" t="n">
        <x:v>4</x:v>
      </x:c>
    </x:row>
  </x:sheetData>
  <x:mergeCells>
    <x:mergeCell ref="A1:O1"/>
  </x:mergeCells>
  <x:conditionalFormatting sqref="B14:E19">
    <x:cfRule type="colorScale" priority="1">
      <x:colorScale>
        <x:cfvo type="min"/>
        <x:cfvo type="percentile" val="50"/>
        <x:cfvo type="max"/>
        <x:color rgb="FFF4F7FA"/>
        <x:color rgb="FFBCD2E4"/>
        <x:color rgb="FF2F5D7C"/>
      </x:colorScale>
    </x:cfRule>
  </x:conditionalFormatting>
  <x:conditionalFormatting sqref="B25:E30">
    <x:cfRule type="colorScale" priority="2">
      <x:colorScale>
        <x:cfvo type="min"/>
        <x:cfvo type="percentile" val="50"/>
        <x:cfvo type="max"/>
        <x:color rgb="FFF4F7FA"/>
        <x:color rgb="FFBCD2E4"/>
        <x:color rgb="FF2F5D7C"/>
      </x:colorScale>
    </x:cfRule>
  </x:conditionalFormatting>
  <x:conditionalFormatting sqref="B35:E40">
    <x:cfRule type="colorScale" priority="3">
      <x:colorScale>
        <x:cfvo type="min"/>
        <x:cfvo type="percentile" val="50"/>
        <x:cfvo type="max"/>
        <x:color rgb="FFF4F7FA"/>
        <x:color rgb="FFBCD2E4"/>
        <x:color rgb="FF2F5D7C"/>
      </x:colorScale>
    </x:cfRule>
  </x:conditionalFormatting>
  <x:conditionalFormatting sqref="B44:E49">
    <x:cfRule type="colorScale" priority="4">
      <x:colorScale>
        <x:cfvo type="min"/>
        <x:cfvo type="percentile" val="50"/>
        <x:cfvo type="max"/>
        <x:color rgb="FFF4F7FA"/>
        <x:color rgb="FFBCD2E4"/>
        <x:color rgb="FF2F5D7C"/>
      </x:colorScale>
    </x:cfRule>
  </x:conditionalFormatting>
  <x:pageMargins left="0.7" right="0.7" top="0.75" bottom="0.75" header="0.3" footer="0.3"/>
  <x:drawing xmlns:r="http://schemas.openxmlformats.org/officeDocument/2006/relationships" r:id="R6ee16c12d11c41fd"/>
</x:worksheet>
</file>