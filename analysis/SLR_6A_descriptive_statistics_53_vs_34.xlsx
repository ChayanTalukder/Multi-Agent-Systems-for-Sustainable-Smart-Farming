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2d18e3d7d4b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y_Coding" sheetId="1" r:id="R00a888e33c684f1d"/>
    <x:sheet xmlns:r="http://schemas.openxmlformats.org/officeDocument/2006/relationships" name="Token_Coding" sheetId="2" r:id="Rf1aa75f427094313"/>
    <x:sheet xmlns:r="http://schemas.openxmlformats.org/officeDocument/2006/relationships" name="Family_Coding" sheetId="3" r:id="R1bc3333c9831426b"/>
    <x:sheet xmlns:r="http://schemas.openxmlformats.org/officeDocument/2006/relationships" name="Overview" sheetId="4" r:id="R7123bbbd18514543"/>
    <x:sheet xmlns:r="http://schemas.openxmlformats.org/officeDocument/2006/relationships" name="Year_Trends" sheetId="5" r:id="R2aa8eaea0dd74b58"/>
    <x:sheet xmlns:r="http://schemas.openxmlformats.org/officeDocument/2006/relationships" name="Domains_Architecture" sheetId="6" r:id="R6fd72cd206b44dc7"/>
    <x:sheet xmlns:r="http://schemas.openxmlformats.org/officeDocument/2006/relationships" name="Methods_Evaluation" sheetId="7" r:id="R9fde83f9ca264410"/>
    <x:sheet xmlns:r="http://schemas.openxmlformats.org/officeDocument/2006/relationships" name="QA_Families" sheetId="8" r:id="R4f81de8b74b84a3b"/>
    <x:sheet xmlns:r="http://schemas.openxmlformats.org/officeDocument/2006/relationships" name="Comparison_Data" sheetId="9" r:id="R6d4b865d6a174a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7F6000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0256a13f340fc" /><Relationship Type="http://schemas.openxmlformats.org/officeDocument/2006/relationships/theme" Target="/xl/theme/theme1.xml" Id="Rc8da59e122d046a5" /><Relationship Type="http://schemas.openxmlformats.org/officeDocument/2006/relationships/sharedStrings" Target="/xl/sharedStrings.xml" Id="R9cbf0ddaabb2467b" /><Relationship Type="http://schemas.openxmlformats.org/officeDocument/2006/relationships/worksheet" Target="/xl/worksheets/sheet1.xml" Id="R00a888e33c684f1d" /><Relationship Type="http://schemas.openxmlformats.org/officeDocument/2006/relationships/worksheet" Target="/xl/worksheets/sheet2.xml" Id="Rf1aa75f427094313" /><Relationship Type="http://schemas.openxmlformats.org/officeDocument/2006/relationships/worksheet" Target="/xl/worksheets/sheet3.xml" Id="R1bc3333c9831426b" /><Relationship Type="http://schemas.openxmlformats.org/officeDocument/2006/relationships/worksheet" Target="/xl/worksheets/sheet4.xml" Id="R7123bbbd18514543" /><Relationship Type="http://schemas.openxmlformats.org/officeDocument/2006/relationships/worksheet" Target="/xl/worksheets/sheet5.xml" Id="R2aa8eaea0dd74b58" /><Relationship Type="http://schemas.openxmlformats.org/officeDocument/2006/relationships/worksheet" Target="/xl/worksheets/sheet6.xml" Id="R6fd72cd206b44dc7" /><Relationship Type="http://schemas.openxmlformats.org/officeDocument/2006/relationships/worksheet" Target="/xl/worksheets/sheet7.xml" Id="R9fde83f9ca264410" /><Relationship Type="http://schemas.openxmlformats.org/officeDocument/2006/relationships/worksheet" Target="/xl/worksheets/sheet8.xml" Id="R4f81de8b74b84a3b" /><Relationship Type="http://schemas.openxmlformats.org/officeDocument/2006/relationships/worksheet" Target="/xl/worksheets/sheet9.xml" Id="R6d4b865d6a174a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27f5fc3138543f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3f5cdade6ce407c" /><Relationship Type="http://schemas.openxmlformats.org/officeDocument/2006/relationships/chart" Target="/xl/drawings/charts/chart3.xml" Id="Rf55f867d9cbb463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17728d499c4647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Publications by Year: Original 34 vs Final 53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Original 34</c:v>
          </c:tx>
          <c:cat>
            <c:strRef>
              <c:f>'Year_Trends'!$A$5:$A$30</c:f>
              <c:strCache>
                <c:ptCount val="0"/>
              </c:strCache>
            </c:strRef>
          </c:cat>
          <c:val>
            <c:numRef>
              <c:f>'Year_Trends'!$B$5:$B$30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Final 53</c:v>
          </c:tx>
          <c:cat>
            <c:strRef>
              <c:f>'Year_Trends'!$A$5:$A$30</c:f>
              <c:strCache>
                <c:ptCount val="0"/>
              </c:strCache>
            </c:strRef>
          </c:cat>
          <c:val>
            <c:numRef>
              <c:f>'Year_Trends'!$C$5:$C$30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Primary-Domain Distribution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Old count</c:v>
          </c:tx>
          <c:cat>
            <c:strRef>
              <c:f>'Domains_Architecture'!$A$5:$A$10</c:f>
              <c:strCache>
                <c:ptCount val="0"/>
              </c:strCache>
            </c:strRef>
          </c:cat>
          <c:val>
            <c:numRef>
              <c:f>'Domains_Architecture'!$B$5:$B$10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Old %</c:v>
          </c:tx>
          <c:cat>
            <c:strRef>
              <c:f>'Domains_Architecture'!$A$5:$A$10</c:f>
              <c:strCache>
                <c:ptCount val="0"/>
              </c:strCache>
            </c:strRef>
          </c:cat>
          <c:val>
            <c:numRef>
              <c:f>'Domains_Architecture'!$C$5:$C$10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Final count</c:v>
          </c:tx>
          <c:cat>
            <c:strRef>
              <c:f>'Domains_Architecture'!$A$5:$A$10</c:f>
              <c:strCache>
                <c:ptCount val="0"/>
              </c:strCache>
            </c:strRef>
          </c:cat>
          <c:val>
            <c:numRef>
              <c:f>'Domains_Architecture'!$D$5:$D$10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Final %</c:v>
          </c:tx>
          <c:cat>
            <c:strRef>
              <c:f>'Domains_Architecture'!$A$5:$A$10</c:f>
              <c:strCache>
                <c:ptCount val="0"/>
              </c:strCache>
            </c:strRef>
          </c:cat>
          <c:val>
            <c:numRef>
              <c:f>'Domains_Architecture'!$E$5:$E$10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MAS Architecture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Old count</c:v>
          </c:tx>
          <c:cat>
            <c:strRef>
              <c:f>'Domains_Architecture'!$A$15:$A$19</c:f>
              <c:strCache>
                <c:ptCount val="0"/>
              </c:strCache>
            </c:strRef>
          </c:cat>
          <c:val>
            <c:numRef>
              <c:f>'Domains_Architecture'!$B$15:$B$19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Old %</c:v>
          </c:tx>
          <c:cat>
            <c:strRef>
              <c:f>'Domains_Architecture'!$A$15:$A$19</c:f>
              <c:strCache>
                <c:ptCount val="0"/>
              </c:strCache>
            </c:strRef>
          </c:cat>
          <c:val>
            <c:numRef>
              <c:f>'Domains_Architecture'!$C$15:$C$19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Final count</c:v>
          </c:tx>
          <c:cat>
            <c:strRef>
              <c:f>'Domains_Architecture'!$A$15:$A$19</c:f>
              <c:strCache>
                <c:ptCount val="0"/>
              </c:strCache>
            </c:strRef>
          </c:cat>
          <c:val>
            <c:numRef>
              <c:f>'Domains_Architecture'!$D$15:$D$19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Final %</c:v>
          </c:tx>
          <c:cat>
            <c:strRef>
              <c:f>'Domains_Architecture'!$A$15:$A$19</c:f>
              <c:strCache>
                <c:ptCount val="0"/>
              </c:strCache>
            </c:strRef>
          </c:cat>
          <c:val>
            <c:numRef>
              <c:f>'Domains_Architecture'!$E$15:$E$19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QA Score Distribution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Old count</c:v>
          </c:tx>
          <c:cat>
            <c:strRef>
              <c:f>'QA_Families'!$A$12:$A$18</c:f>
              <c:strCache>
                <c:ptCount val="0"/>
              </c:strCache>
            </c:strRef>
          </c:cat>
          <c:val>
            <c:numRef>
              <c:f>'QA_Families'!$B$12:$B$18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Old %</c:v>
          </c:tx>
          <c:cat>
            <c:strRef>
              <c:f>'QA_Families'!$A$12:$A$18</c:f>
              <c:strCache>
                <c:ptCount val="0"/>
              </c:strCache>
            </c:strRef>
          </c:cat>
          <c:val>
            <c:numRef>
              <c:f>'QA_Families'!$C$12:$C$18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Final count</c:v>
          </c:tx>
          <c:cat>
            <c:strRef>
              <c:f>'QA_Families'!$A$12:$A$18</c:f>
              <c:strCache>
                <c:ptCount val="0"/>
              </c:strCache>
            </c:strRef>
          </c:cat>
          <c:val>
            <c:numRef>
              <c:f>'QA_Families'!$D$12:$D$18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Final %</c:v>
          </c:tx>
          <c:cat>
            <c:strRef>
              <c:f>'QA_Families'!$A$12:$A$18</c:f>
              <c:strCache>
                <c:ptCount val="0"/>
              </c:strCache>
            </c:strRef>
          </c:cat>
          <c:val>
            <c:numRef>
              <c:f>'QA_Families'!$E$12:$E$18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7f5fc3138543f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f5cdade6ce407c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18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5f867d9cbb463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14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728d499c4647f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6f104c8ecba649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35d7b990bf8e46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b6db7650a0df411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8" hidden="0" customWidth="1"/>
    <x:col min="4" max="4" width="34" hidden="0" customWidth="1"/>
    <x:col min="5" max="5" width="18" hidden="0" customWidth="1"/>
    <x:col min="6" max="6" width="20" hidden="0" customWidth="1"/>
    <x:col min="7" max="7" width="20" hidden="0" customWidth="1"/>
    <x:col min="8" max="8" width="16" hidden="0" customWidth="1"/>
    <x:col min="9" max="9" width="18" hidden="0" customWidth="1"/>
    <x:col min="10" max="10" width="17" hidden="0" customWidth="1"/>
    <x:col min="11" max="11" width="18" hidden="0" customWidth="1"/>
    <x:col min="12" max="12" width="14" hidden="0" customWidth="1"/>
    <x:col min="13" max="13" width="14" hidden="0" customWidth="1"/>
    <x:col min="14" max="14" width="10" hidden="0" customWidth="1"/>
    <x:col min="15" max="15" width="12" hidden="0" customWidth="1"/>
    <x:col min="16" max="16" width="18" hidden="0" customWidth="1"/>
    <x:col min="17" max="17" width="42" hidden="0" customWidth="1"/>
    <x:col min="18" max="18" width="30" hidden="0" customWidth="1"/>
    <x:col min="19" max="19" width="55" hidden="0" customWidth="1"/>
  </x:cols>
  <x:sheetData>
    <x:row r="1">
      <x:c r="A1" s="6" t="str">
        <x:v>Study_ID</x:v>
      </x:c>
      <x:c r="B1" s="6" t="str">
        <x:v>Corpus_Group</x:v>
      </x:c>
      <x:c r="C1" s="6" t="str">
        <x:v>Year</x:v>
      </x:c>
      <x:c r="D1" s="6" t="str">
        <x:v>Primary_Domain</x:v>
      </x:c>
      <x:c r="E1" s="6" t="str">
        <x:v>Publication_Type</x:v>
      </x:c>
      <x:c r="F1" s="6" t="str">
        <x:v>System_Integration_Scope</x:v>
      </x:c>
      <x:c r="G1" s="6" t="str">
        <x:v>Implementation_Maturity</x:v>
      </x:c>
      <x:c r="H1" s="6" t="str">
        <x:v>MAS_Architecture</x:v>
      </x:c>
      <x:c r="I1" s="6" t="str">
        <x:v>Sustainability_Addressed</x:v>
      </x:c>
      <x:c r="J1" s="6" t="str">
        <x:v>Resource_Constraint</x:v>
      </x:c>
      <x:c r="K1" s="6" t="str">
        <x:v>Real_World_Deployment</x:v>
      </x:c>
      <x:c r="L1" s="6" t="str">
        <x:v>Code_Available</x:v>
      </x:c>
      <x:c r="M1" s="6" t="str">
        <x:v>Data_Available</x:v>
      </x:c>
      <x:c r="N1" s="6" t="str">
        <x:v>QA_Total</x:v>
      </x:c>
      <x:c r="O1" s="6" t="str">
        <x:v>Study_Family_ID</x:v>
      </x:c>
      <x:c r="P1" s="6" t="str">
        <x:v>Related_Publication_IDs</x:v>
      </x:c>
      <x:c r="Q1" s="6" t="str">
        <x:v>Geographical_Context</x:v>
      </x:c>
      <x:c r="R1" s="6" t="str">
        <x:v>Venue</x:v>
      </x:c>
      <x:c r="S1" s="6" t="str">
        <x:v>Title</x:v>
      </x:c>
    </x:row>
    <x:row r="2">
      <x:c r="A2" t="str">
        <x:v>S01</x:v>
      </x:c>
      <x:c r="B2" t="str">
        <x:v>Original 34</x:v>
      </x:c>
      <x:c r="C2" t="n">
        <x:v>2018</x:v>
      </x:c>
      <x:c r="D2" t="str">
        <x:v>Livestock / integrated farming</x:v>
      </x:c>
      <x:c r="E2" t="str">
        <x:v>Journal article</x:v>
      </x:c>
      <x:c r="F2" t="str">
        <x:v>Integrated-system</x:v>
      </x:c>
      <x:c r="G2" t="str">
        <x:v>Simulation</x:v>
      </x:c>
      <x:c r="H2" t="str">
        <x:v>Decentralised</x:v>
      </x:c>
      <x:c r="I2" t="str">
        <x:v>Direct</x:v>
      </x:c>
      <x:c r="J2" t="str">
        <x:v>Yes</x:v>
      </x:c>
      <x:c r="K2" t="str">
        <x:v>No</x:v>
      </x:c>
      <x:c r="L2" t="str">
        <x:v>NR</x:v>
      </x:c>
      <x:c r="M2" t="str">
        <x:v>NR</x:v>
      </x:c>
      <x:c r="N2" t="n">
        <x:v>13</x:v>
      </x:c>
      <x:c r="O2" t="str">
        <x:v>SF01</x:v>
      </x:c>
      <x:c r="P2" t="str">
        <x:v>NA</x:v>
      </x:c>
      <x:c r="Q2" t="str">
        <x:v>High Plateau, Eastern Morocco</x:v>
      </x:c>
      <x:c r="R2" t="str">
        <x:v>Regional Environmental Change</x:v>
      </x:c>
      <x:c r="S2" t="str">
        <x:v>Polarization in (post)nomadic resource use in Eastern Morocco: insights using a multi-agent simulation model</x:v>
      </x:c>
    </x:row>
    <x:row r="3">
      <x:c r="A3" t="str">
        <x:v>S02</x:v>
      </x:c>
      <x:c r="B3" t="str">
        <x:v>Original 34</x:v>
      </x:c>
      <x:c r="C3" t="n">
        <x:v>2019</x:v>
      </x:c>
      <x:c r="D3" t="str">
        <x:v>Crop / farm management</x:v>
      </x:c>
      <x:c r="E3" t="str">
        <x:v>Conference paper</x:v>
      </x:c>
      <x:c r="F3" t="str">
        <x:v>Integrated-system</x:v>
      </x:c>
      <x:c r="G3" t="str">
        <x:v>Field pilot</x:v>
      </x:c>
      <x:c r="H3" t="str">
        <x:v>Hybrid</x:v>
      </x:c>
      <x:c r="I3" t="str">
        <x:v>Indirect</x:v>
      </x:c>
      <x:c r="J3" t="str">
        <x:v>Yes</x:v>
      </x:c>
      <x:c r="K3" t="str">
        <x:v>Yes</x:v>
      </x:c>
      <x:c r="L3" t="str">
        <x:v>NR</x:v>
      </x:c>
      <x:c r="M3" t="str">
        <x:v>NR</x:v>
      </x:c>
      <x:c r="N3" t="n">
        <x:v>9</x:v>
      </x:c>
      <x:c r="O3" t="str">
        <x:v>SF02</x:v>
      </x:c>
      <x:c r="P3" t="str">
        <x:v>NA</x:v>
      </x:c>
      <x:c r="Q3" t="str">
        <x:v>Rostov Region, Russia (industrial prototype at Peschanokopskaya Agro Group)</x:v>
      </x:c>
      <x:c r="R3" t="str">
        <x:v>Advances in Practical Applications of Survivable Agents and Multi-Agent Systems: The PAAMS Collection</x:v>
      </x:c>
      <x:c r="S3" t="str">
        <x:v>Smart Farming – Open Multi-agent Platform and Eco-System of Smart Services for Precision Farming</x:v>
      </x:c>
    </x:row>
    <x:row r="4">
      <x:c r="A4" t="str">
        <x:v>S03</x:v>
      </x:c>
      <x:c r="B4" t="str">
        <x:v>Original 34</x:v>
      </x:c>
      <x:c r="C4" t="n">
        <x:v>2023</x:v>
      </x:c>
      <x:c r="D4" t="str">
        <x:v>Crop / farm management</x:v>
      </x:c>
      <x:c r="E4" t="str">
        <x:v>Journal article</x:v>
      </x:c>
      <x:c r="F4" t="str">
        <x:v>Integrated-system</x:v>
      </x:c>
      <x:c r="G4" t="str">
        <x:v>Simulation</x:v>
      </x:c>
      <x:c r="H4" t="str">
        <x:v>Decentralised</x:v>
      </x:c>
      <x:c r="I4" t="str">
        <x:v>Indirect</x:v>
      </x:c>
      <x:c r="J4" t="str">
        <x:v>Yes</x:v>
      </x:c>
      <x:c r="K4" t="str">
        <x:v>No</x:v>
      </x:c>
      <x:c r="L4" t="str">
        <x:v>NR</x:v>
      </x:c>
      <x:c r="M4" t="str">
        <x:v>Yes</x:v>
      </x:c>
      <x:c r="N4" t="n">
        <x:v>14</x:v>
      </x:c>
      <x:c r="O4" t="str">
        <x:v>SF03</x:v>
      </x:c>
      <x:c r="P4" t="str">
        <x:v>NA</x:v>
      </x:c>
      <x:c r="Q4" t="str">
        <x:v>Germany; organic wash/storage carrot seed and breeding value chain</x:v>
      </x:c>
      <x:c r="R4" t="str">
        <x:v>Agricultural and Food Economics</x:v>
      </x:c>
      <x:c r="S4" t="str">
        <x:v>Assessing seed and breeding interventions for organic farming using a multiagent value chain approach</x:v>
      </x:c>
    </x:row>
    <x:row r="5">
      <x:c r="A5" t="str">
        <x:v>S04</x:v>
      </x:c>
      <x:c r="B5" t="str">
        <x:v>Original 34</x:v>
      </x:c>
      <x:c r="C5" t="n">
        <x:v>2026</x:v>
      </x:c>
      <x:c r="D5" t="str">
        <x:v>Livestock / integrated farming</x:v>
      </x:c>
      <x:c r="E5" t="str">
        <x:v>Journal article</x:v>
      </x:c>
      <x:c r="F5" t="str">
        <x:v>Single-domain</x:v>
      </x:c>
      <x:c r="G5" t="str">
        <x:v>Prototype</x:v>
      </x:c>
      <x:c r="H5" t="str">
        <x:v>Centralised</x:v>
      </x:c>
      <x:c r="I5" t="str">
        <x:v>Not addressed</x:v>
      </x:c>
      <x:c r="J5" t="str">
        <x:v>No</x:v>
      </x:c>
      <x:c r="K5" t="str">
        <x:v>No</x:v>
      </x:c>
      <x:c r="L5" t="str">
        <x:v>Yes</x:v>
      </x:c>
      <x:c r="M5" t="str">
        <x:v>Yes</x:v>
      </x:c>
      <x:c r="N5" t="n">
        <x:v>14</x:v>
      </x:c>
      <x:c r="O5" t="str">
        <x:v>SF04</x:v>
      </x:c>
      <x:c r="P5" t="str">
        <x:v>NA</x:v>
      </x:c>
      <x:c r="Q5" t="str">
        <x:v>NR</x:v>
      </x:c>
      <x:c r="R5" t="str">
        <x:v>IEEE Access</x:v>
      </x:c>
      <x:c r="S5" t="str">
        <x:v>CowNet-AI: A Multi-Agent Decision Support Framework for Social Network–Driven Welfare Insights in Dairy Cattle</x:v>
      </x:c>
    </x:row>
    <x:row r="6">
      <x:c r="A6" t="str">
        <x:v>S05</x:v>
      </x:c>
      <x:c r="B6" t="str">
        <x:v>Original 34</x:v>
      </x:c>
      <x:c r="C6" t="n">
        <x:v>2024</x:v>
      </x:c>
      <x:c r="D6" t="str">
        <x:v>Energy / WEF nexus</x:v>
      </x:c>
      <x:c r="E6" t="str">
        <x:v>Journal article</x:v>
      </x:c>
      <x:c r="F6" t="str">
        <x:v>Single-domain</x:v>
      </x:c>
      <x:c r="G6" t="str">
        <x:v>Simulation</x:v>
      </x:c>
      <x:c r="H6" t="str">
        <x:v>Hybrid</x:v>
      </x:c>
      <x:c r="I6" t="str">
        <x:v>Indirect</x:v>
      </x:c>
      <x:c r="J6" t="str">
        <x:v>Yes</x:v>
      </x:c>
      <x:c r="K6" t="str">
        <x:v>No</x:v>
      </x:c>
      <x:c r="L6" t="str">
        <x:v>NR</x:v>
      </x:c>
      <x:c r="M6" t="str">
        <x:v>No</x:v>
      </x:c>
      <x:c r="N6" t="n">
        <x:v>14</x:v>
      </x:c>
      <x:c r="O6" t="str">
        <x:v>SF05</x:v>
      </x:c>
      <x:c r="P6" t="str">
        <x:v>S11; S29</x:v>
      </x:c>
      <x:c r="Q6" t="str">
        <x:v>Finland and Ireland dairy-farm communities</x:v>
      </x:c>
      <x:c r="R6" t="str">
        <x:v>Computers and Electrical Engineering</x:v>
      </x:c>
      <x:c r="S6" t="str">
        <x:v>Peer-to-peer energy trading in dairy farms using multi-agent systems</x:v>
      </x:c>
    </x:row>
    <x:row r="7">
      <x:c r="A7" t="str">
        <x:v>S06</x:v>
      </x:c>
      <x:c r="B7" t="str">
        <x:v>Original 34</x:v>
      </x:c>
      <x:c r="C7" t="n">
        <x:v>2022</x:v>
      </x:c>
      <x:c r="D7" t="str">
        <x:v>Irrigation / water management</x:v>
      </x:c>
      <x:c r="E7" t="str">
        <x:v>Journal article</x:v>
      </x:c>
      <x:c r="F7" t="str">
        <x:v>Single-domain</x:v>
      </x:c>
      <x:c r="G7" t="str">
        <x:v>Field pilot</x:v>
      </x:c>
      <x:c r="H7" t="str">
        <x:v>Hierarchical</x:v>
      </x:c>
      <x:c r="I7" t="str">
        <x:v>Direct</x:v>
      </x:c>
      <x:c r="J7" t="str">
        <x:v>Yes</x:v>
      </x:c>
      <x:c r="K7" t="str">
        <x:v>Partial</x:v>
      </x:c>
      <x:c r="L7" t="str">
        <x:v>NR</x:v>
      </x:c>
      <x:c r="M7" t="str">
        <x:v>NR</x:v>
      </x:c>
      <x:c r="N7" t="n">
        <x:v>14</x:v>
      </x:c>
      <x:c r="O7" t="str">
        <x:v>SF06</x:v>
      </x:c>
      <x:c r="P7" t="str">
        <x:v>NA</x:v>
      </x:c>
      <x:c r="Q7" t="str">
        <x:v>Usochicamocha irrigation and drainage district, Boyacá, Colombia</x:v>
      </x:c>
      <x:c r="R7" t="str">
        <x:v>Computers and Electronics in Agriculture</x:v>
      </x:c>
      <x:c r="S7" t="str">
        <x:v>Intelligent IoT-multiagent precision irrigation approach for improving water use efficiency in irrigation systems at farm and district scales</x:v>
      </x:c>
    </x:row>
    <x:row r="8">
      <x:c r="A8" t="str">
        <x:v>S07</x:v>
      </x:c>
      <x:c r="B8" t="str">
        <x:v>Original 34</x:v>
      </x:c>
      <x:c r="C8" t="n">
        <x:v>2024</x:v>
      </x:c>
      <x:c r="D8" t="str">
        <x:v>Irrigation / water management</x:v>
      </x:c>
      <x:c r="E8" t="str">
        <x:v>Journal article</x:v>
      </x:c>
      <x:c r="F8" t="str">
        <x:v>Single-domain</x:v>
      </x:c>
      <x:c r="G8" t="str">
        <x:v>Simulation</x:v>
      </x:c>
      <x:c r="H8" t="str">
        <x:v>Decentralised</x:v>
      </x:c>
      <x:c r="I8" t="str">
        <x:v>Direct</x:v>
      </x:c>
      <x:c r="J8" t="str">
        <x:v>Yes</x:v>
      </x:c>
      <x:c r="K8" t="str">
        <x:v>No</x:v>
      </x:c>
      <x:c r="L8" t="str">
        <x:v>NR</x:v>
      </x:c>
      <x:c r="M8" t="str">
        <x:v>NR</x:v>
      </x:c>
      <x:c r="N8" t="n">
        <x:v>14</x:v>
      </x:c>
      <x:c r="O8" t="str">
        <x:v>SF07</x:v>
      </x:c>
      <x:c r="P8" t="str">
        <x:v>NA</x:v>
      </x:c>
      <x:c r="Q8" t="str">
        <x:v>Lethbridge College Research Farm, southern Alberta, Canada</x:v>
      </x:c>
      <x:c r="R8" t="str">
        <x:v>Control Engineering Practice</x:v>
      </x:c>
      <x:c r="S8" t="str">
        <x:v>Learning-based multi-agent MPC for irrigation scheduling</x:v>
      </x:c>
    </x:row>
    <x:row r="9">
      <x:c r="A9" t="str">
        <x:v>S08</x:v>
      </x:c>
      <x:c r="B9" t="str">
        <x:v>Original 34</x:v>
      </x:c>
      <x:c r="C9" t="n">
        <x:v>2025</x:v>
      </x:c>
      <x:c r="D9" t="str">
        <x:v>Irrigation / water management</x:v>
      </x:c>
      <x:c r="E9" t="str">
        <x:v>Journal article</x:v>
      </x:c>
      <x:c r="F9" t="str">
        <x:v>Single-domain</x:v>
      </x:c>
      <x:c r="G9" t="str">
        <x:v>Simulation</x:v>
      </x:c>
      <x:c r="H9" t="str">
        <x:v>Hierarchical</x:v>
      </x:c>
      <x:c r="I9" t="str">
        <x:v>Direct</x:v>
      </x:c>
      <x:c r="J9" t="str">
        <x:v>Yes</x:v>
      </x:c>
      <x:c r="K9" t="str">
        <x:v>No</x:v>
      </x:c>
      <x:c r="L9" t="str">
        <x:v>NR</x:v>
      </x:c>
      <x:c r="M9" t="str">
        <x:v>NR</x:v>
      </x:c>
      <x:c r="N9" t="n">
        <x:v>14</x:v>
      </x:c>
      <x:c r="O9" t="str">
        <x:v>SF08</x:v>
      </x:c>
      <x:c r="P9" t="str">
        <x:v>S23</x:v>
      </x:c>
      <x:c r="Q9" t="str">
        <x:v>Lethbridge College Research Farm, southern Alberta, Canada</x:v>
      </x:c>
      <x:c r="R9" t="str">
        <x:v>Control Engineering Practice</x:v>
      </x:c>
      <x:c r="S9" t="str">
        <x:v>A semi-centralized multi-agent RL framework for efficient irrigation scheduling</x:v>
      </x:c>
    </x:row>
    <x:row r="10">
      <x:c r="A10" t="str">
        <x:v>S09</x:v>
      </x:c>
      <x:c r="B10" t="str">
        <x:v>Original 34</x:v>
      </x:c>
      <x:c r="C10" t="n">
        <x:v>2024</x:v>
      </x:c>
      <x:c r="D10" t="str">
        <x:v>Energy / WEF nexus</x:v>
      </x:c>
      <x:c r="E10" t="str">
        <x:v>Journal article</x:v>
      </x:c>
      <x:c r="F10" t="str">
        <x:v>Single-domain</x:v>
      </x:c>
      <x:c r="G10" t="str">
        <x:v>Simulation</x:v>
      </x:c>
      <x:c r="H10" t="str">
        <x:v>Hybrid</x:v>
      </x:c>
      <x:c r="I10" t="str">
        <x:v>Direct</x:v>
      </x:c>
      <x:c r="J10" t="str">
        <x:v>Yes</x:v>
      </x:c>
      <x:c r="K10" t="str">
        <x:v>No</x:v>
      </x:c>
      <x:c r="L10" t="str">
        <x:v>NR</x:v>
      </x:c>
      <x:c r="M10" t="str">
        <x:v>Yes</x:v>
      </x:c>
      <x:c r="N10" t="n">
        <x:v>13</x:v>
      </x:c>
      <x:c r="O10" t="str">
        <x:v>SF09</x:v>
      </x:c>
      <x:c r="P10" t="str">
        <x:v>NA</x:v>
      </x:c>
      <x:c r="Q10" t="str">
        <x:v>New York City, USA — five greenhouse locations, one in each borough</x:v>
      </x:c>
      <x:c r="R10" t="str">
        <x:v>Applied Energy</x:v>
      </x:c>
      <x:c r="S10" t="str">
        <x:v>Energy management for demand response in networked greenhouses with multi-agent deep reinforcement learning</x:v>
      </x:c>
    </x:row>
    <x:row r="11">
      <x:c r="A11" t="str">
        <x:v>S10</x:v>
      </x:c>
      <x:c r="B11" t="str">
        <x:v>Original 34</x:v>
      </x:c>
      <x:c r="C11" t="n">
        <x:v>2011</x:v>
      </x:c>
      <x:c r="D11" t="str">
        <x:v>Livestock / integrated farming</x:v>
      </x:c>
      <x:c r="E11" t="str">
        <x:v>Journal article</x:v>
      </x:c>
      <x:c r="F11" t="str">
        <x:v>Integrated-system</x:v>
      </x:c>
      <x:c r="G11" t="str">
        <x:v>Simulation</x:v>
      </x:c>
      <x:c r="H11" t="str">
        <x:v>Distributed</x:v>
      </x:c>
      <x:c r="I11" t="str">
        <x:v>Direct</x:v>
      </x:c>
      <x:c r="J11" t="str">
        <x:v>Yes</x:v>
      </x:c>
      <x:c r="K11" t="str">
        <x:v>No</x:v>
      </x:c>
      <x:c r="L11" t="str">
        <x:v>NR</x:v>
      </x:c>
      <x:c r="M11" t="str">
        <x:v>NR</x:v>
      </x:c>
      <x:c r="N11" t="n">
        <x:v>13</x:v>
      </x:c>
      <x:c r="O11" t="str">
        <x:v>SF10</x:v>
      </x:c>
      <x:c r="P11" t="str">
        <x:v>NA</x:v>
      </x:c>
      <x:c r="Q11" t="str">
        <x:v>Virtual sub-humid West African village; model inputs partly calibrated from Touroukoro, Burkina Faso and regional literature</x:v>
      </x:c>
      <x:c r="R11" t="str">
        <x:v>Ecological Modelling</x:v>
      </x:c>
      <x:c r="S11" t="str">
        <x:v>CaTMAS: A multi-agent model for simulating the dynamics of carbon resources of West African villages</x:v>
      </x:c>
    </x:row>
    <x:row r="12">
      <x:c r="A12" t="str">
        <x:v>S11</x:v>
      </x:c>
      <x:c r="B12" t="str">
        <x:v>Original 34</x:v>
      </x:c>
      <x:c r="C12" t="n">
        <x:v>2026</x:v>
      </x:c>
      <x:c r="D12" t="str">
        <x:v>Energy / WEF nexus</x:v>
      </x:c>
      <x:c r="E12" t="str">
        <x:v>Journal article</x:v>
      </x:c>
      <x:c r="F12" t="str">
        <x:v>Single-domain</x:v>
      </x:c>
      <x:c r="G12" t="str">
        <x:v>Simulation</x:v>
      </x:c>
      <x:c r="H12" t="str">
        <x:v>Hybrid</x:v>
      </x:c>
      <x:c r="I12" t="str">
        <x:v>Direct</x:v>
      </x:c>
      <x:c r="J12" t="str">
        <x:v>Yes</x:v>
      </x:c>
      <x:c r="K12" t="str">
        <x:v>No</x:v>
      </x:c>
      <x:c r="L12" t="str">
        <x:v>NR</x:v>
      </x:c>
      <x:c r="M12" t="str">
        <x:v>NR</x:v>
      </x:c>
      <x:c r="N12" t="n">
        <x:v>14</x:v>
      </x:c>
      <x:c r="O12" t="str">
        <x:v>SF05</x:v>
      </x:c>
      <x:c r="P12" t="str">
        <x:v>S05; S29</x:v>
      </x:c>
      <x:c r="Q12" t="str">
        <x:v>Ireland (County Dublin) and Finland (Helsinki) dairy-farm energy communities</x:v>
      </x:c>
      <x:c r="R12" t="str">
        <x:v>Applied Energy</x:v>
      </x:c>
      <x:c r="S12" t="str">
        <x:v>Peer-to-peer energy trading in dairy farms using multi-agent reinforcement learning</x:v>
      </x:c>
    </x:row>
    <x:row r="13">
      <x:c r="A13" t="str">
        <x:v>S12</x:v>
      </x:c>
      <x:c r="B13" t="str">
        <x:v>Original 34</x:v>
      </x:c>
      <x:c r="C13" t="n">
        <x:v>2023</x:v>
      </x:c>
      <x:c r="D13" t="str">
        <x:v>Soil / nutrient / environmental management</x:v>
      </x:c>
      <x:c r="E13" t="str">
        <x:v>Journal article</x:v>
      </x:c>
      <x:c r="F13" t="str">
        <x:v>Integrated-system</x:v>
      </x:c>
      <x:c r="G13" t="str">
        <x:v>Simulation</x:v>
      </x:c>
      <x:c r="H13" t="str">
        <x:v>Decentralised</x:v>
      </x:c>
      <x:c r="I13" t="str">
        <x:v>Direct</x:v>
      </x:c>
      <x:c r="J13" t="str">
        <x:v>Yes</x:v>
      </x:c>
      <x:c r="K13" t="str">
        <x:v>No</x:v>
      </x:c>
      <x:c r="L13" t="str">
        <x:v>Yes</x:v>
      </x:c>
      <x:c r="M13" t="str">
        <x:v>Yes</x:v>
      </x:c>
      <x:c r="N13" t="n">
        <x:v>13</x:v>
      </x:c>
      <x:c r="O13" t="str">
        <x:v>SF12</x:v>
      </x:c>
      <x:c r="P13" t="str">
        <x:v>NA</x:v>
      </x:c>
      <x:c r="Q13" t="str">
        <x:v>Nsipe, Ntcheu District, Malawi (five-village smallholder farming landscape)</x:v>
      </x:c>
      <x:c r="R13" t="str">
        <x:v>MethodsX</x:v>
      </x:c>
      <x:c r="S13" t="str">
        <x:v>MASSAI: Multi-agent system for simulating sustainable agricultural intensification of smallholder farms in Africa</x:v>
      </x:c>
    </x:row>
    <x:row r="14">
      <x:c r="A14" t="str">
        <x:v>S13</x:v>
      </x:c>
      <x:c r="B14" t="str">
        <x:v>Original 34</x:v>
      </x:c>
      <x:c r="C14" t="n">
        <x:v>2014</x:v>
      </x:c>
      <x:c r="D14" t="str">
        <x:v>Irrigation / water management</x:v>
      </x:c>
      <x:c r="E14" t="str">
        <x:v>Conference paper</x:v>
      </x:c>
      <x:c r="F14" t="str">
        <x:v>Integrated-system</x:v>
      </x:c>
      <x:c r="G14" t="str">
        <x:v>Simulation</x:v>
      </x:c>
      <x:c r="H14" t="str">
        <x:v>Hierarchical</x:v>
      </x:c>
      <x:c r="I14" t="str">
        <x:v>Direct</x:v>
      </x:c>
      <x:c r="J14" t="str">
        <x:v>Yes</x:v>
      </x:c>
      <x:c r="K14" t="str">
        <x:v>No</x:v>
      </x:c>
      <x:c r="L14" t="str">
        <x:v>NR</x:v>
      </x:c>
      <x:c r="M14" t="str">
        <x:v>NR</x:v>
      </x:c>
      <x:c r="N14" t="n">
        <x:v>12</x:v>
      </x:c>
      <x:c r="O14" t="str">
        <x:v>SF13</x:v>
      </x:c>
      <x:c r="P14" t="str">
        <x:v>S22</x:v>
      </x:c>
      <x:c r="Q14" t="str">
        <x:v>Adour-Garonne River Basin, south-west France</x:v>
      </x:c>
      <x:c r="R14" t="str">
        <x:v>Proceedings - 7th International Congress on Environmental Modelling and Software: Bold Visions for Environmental Modeling, iEMSs 2014</x:v>
      </x:c>
      <x:c r="S14" t="str">
        <x:v>Integrated modelling of social-ecological systems: The MAELIA high-resolution multi-agent platform to deal with water scarcity problems</x:v>
      </x:c>
    </x:row>
    <x:row r="15">
      <x:c r="A15" t="str">
        <x:v>S14</x:v>
      </x:c>
      <x:c r="B15" t="str">
        <x:v>Original 34</x:v>
      </x:c>
      <x:c r="C15" t="n">
        <x:v>2019</x:v>
      </x:c>
      <x:c r="D15" t="str">
        <x:v>Livestock / integrated farming</x:v>
      </x:c>
      <x:c r="E15" t="str">
        <x:v>Conference paper</x:v>
      </x:c>
      <x:c r="F15" t="str">
        <x:v>Integrated-system</x:v>
      </x:c>
      <x:c r="G15" t="str">
        <x:v>Simulation</x:v>
      </x:c>
      <x:c r="H15" t="str">
        <x:v>Decentralised</x:v>
      </x:c>
      <x:c r="I15" t="str">
        <x:v>Indirect</x:v>
      </x:c>
      <x:c r="J15" t="str">
        <x:v>Yes</x:v>
      </x:c>
      <x:c r="K15" t="str">
        <x:v>No</x:v>
      </x:c>
      <x:c r="L15" t="str">
        <x:v>NR</x:v>
      </x:c>
      <x:c r="M15" t="str">
        <x:v>NR</x:v>
      </x:c>
      <x:c r="N15" t="n">
        <x:v>8</x:v>
      </x:c>
      <x:c r="O15" t="str">
        <x:v>SF14</x:v>
      </x:c>
      <x:c r="P15" t="str">
        <x:v>NA</x:v>
      </x:c>
      <x:c r="Q15" t="str">
        <x:v>Sub-Saharan Africa; empirical pastoral-mobility reference data include the Far North Region of Cameroon</x:v>
      </x:c>
      <x:c r="R15" t="str">
        <x:v>Proceedings of the 2019 IEEE/ACM International Conference on Advances in Social Networks Analysis and Mining, ASONAM 2019</x:v>
      </x:c>
      <x:c r="S15" t="str">
        <x:v>Network-aware multi-agent simulations of herder-farmer conflicts</x:v>
      </x:c>
    </x:row>
    <x:row r="16">
      <x:c r="A16" t="str">
        <x:v>S15</x:v>
      </x:c>
      <x:c r="B16" t="str">
        <x:v>Original 34</x:v>
      </x:c>
      <x:c r="C16" t="n">
        <x:v>2017</x:v>
      </x:c>
      <x:c r="D16" t="str">
        <x:v>Livestock / integrated farming</x:v>
      </x:c>
      <x:c r="E16" t="str">
        <x:v>Conference paper</x:v>
      </x:c>
      <x:c r="F16" t="str">
        <x:v>Integrated-system</x:v>
      </x:c>
      <x:c r="G16" t="str">
        <x:v>Prototype</x:v>
      </x:c>
      <x:c r="H16" t="str">
        <x:v>Centralised</x:v>
      </x:c>
      <x:c r="I16" t="str">
        <x:v>Not addressed</x:v>
      </x:c>
      <x:c r="J16" t="str">
        <x:v>No</x:v>
      </x:c>
      <x:c r="K16" t="str">
        <x:v>No</x:v>
      </x:c>
      <x:c r="L16" t="str">
        <x:v>NR</x:v>
      </x:c>
      <x:c r="M16" t="str">
        <x:v>NR</x:v>
      </x:c>
      <x:c r="N16" t="n">
        <x:v>10</x:v>
      </x:c>
      <x:c r="O16" t="str">
        <x:v>SF15</x:v>
      </x:c>
      <x:c r="P16" t="str">
        <x:v>NA</x:v>
      </x:c>
      <x:c r="Q16" t="str">
        <x:v>New Zealand dairy-farming context; prototype developed at Lincoln University with examples referencing New Zealand dairy-management tools</x:v>
      </x:c>
      <x:c r="R16" t="str">
        <x:v>Proceedings - 22nd International Congress on Modelling and Simulation, MODSIM 2017</x:v>
      </x:c>
      <x:c r="S16" t="str">
        <x:v>Modelling a multi agent system for dairy farms for integrated decision making</x:v>
      </x:c>
    </x:row>
    <x:row r="17">
      <x:c r="A17" t="str">
        <x:v>S16</x:v>
      </x:c>
      <x:c r="B17" t="str">
        <x:v>Original 34</x:v>
      </x:c>
      <x:c r="C17" t="n">
        <x:v>2023</x:v>
      </x:c>
      <x:c r="D17" t="str">
        <x:v>Irrigation / water management</x:v>
      </x:c>
      <x:c r="E17" t="str">
        <x:v>Journal article</x:v>
      </x:c>
      <x:c r="F17" t="str">
        <x:v>Single-domain</x:v>
      </x:c>
      <x:c r="G17" t="str">
        <x:v>Simulation</x:v>
      </x:c>
      <x:c r="H17" t="str">
        <x:v>Decentralised</x:v>
      </x:c>
      <x:c r="I17" t="str">
        <x:v>Direct</x:v>
      </x:c>
      <x:c r="J17" t="str">
        <x:v>Yes</x:v>
      </x:c>
      <x:c r="K17" t="str">
        <x:v>No</x:v>
      </x:c>
      <x:c r="L17" t="str">
        <x:v>NR</x:v>
      </x:c>
      <x:c r="M17" t="str">
        <x:v>NR</x:v>
      </x:c>
      <x:c r="N17" t="n">
        <x:v>13</x:v>
      </x:c>
      <x:c r="O17" t="str">
        <x:v>SF16</x:v>
      </x:c>
      <x:c r="P17" t="str">
        <x:v>S20</x:v>
      </x:c>
      <x:c r="Q17" t="str">
        <x:v>Canterbury Region, New Zealand; community-irrigation setting modelled on Central Plains Water Enhancement Scheme with a reference farm near Lincoln</x:v>
      </x:c>
      <x:c r="R17" t="str">
        <x:v>Journal of the Royal Society of New Zealand</x:v>
      </x:c>
      <x:c r="S17" t="str">
        <x:v>Water distribution in community irrigation using a multi-agent system</x:v>
      </x:c>
    </x:row>
    <x:row r="18">
      <x:c r="A18" t="str">
        <x:v>S17</x:v>
      </x:c>
      <x:c r="B18" t="str">
        <x:v>Original 34</x:v>
      </x:c>
      <x:c r="C18" t="n">
        <x:v>2026</x:v>
      </x:c>
      <x:c r="D18" t="str">
        <x:v>Crop / farm management</x:v>
      </x:c>
      <x:c r="E18" t="str">
        <x:v>Journal article</x:v>
      </x:c>
      <x:c r="F18" t="str">
        <x:v>Integrated-system</x:v>
      </x:c>
      <x:c r="G18" t="str">
        <x:v>Simulation</x:v>
      </x:c>
      <x:c r="H18" t="str">
        <x:v>Hierarchical</x:v>
      </x:c>
      <x:c r="I18" t="str">
        <x:v>Direct</x:v>
      </x:c>
      <x:c r="J18" t="str">
        <x:v>NA</x:v>
      </x:c>
      <x:c r="K18" t="str">
        <x:v>No</x:v>
      </x:c>
      <x:c r="L18" t="str">
        <x:v>NR</x:v>
      </x:c>
      <x:c r="M18" t="str">
        <x:v>NR</x:v>
      </x:c>
      <x:c r="N18" t="n">
        <x:v>12</x:v>
      </x:c>
      <x:c r="O18" t="str">
        <x:v>SF17</x:v>
      </x:c>
      <x:c r="P18" t="str">
        <x:v>NA</x:v>
      </x:c>
      <x:c r="Q18" t="str">
        <x:v>Veracruz, Mexico; sugarcane production and sugar-mill case study</x:v>
      </x:c>
      <x:c r="R18" t="str">
        <x:v>Journal of Agricultural Engineering</x:v>
      </x:c>
      <x:c r="S18" t="str">
        <x:v>Assessment of agricultural vulnerability and risk to climate change in sugarcane production through life cycle analysis and a multi-agent system</x:v>
      </x:c>
    </x:row>
    <x:row r="19">
      <x:c r="A19" t="str">
        <x:v>S18</x:v>
      </x:c>
      <x:c r="B19" t="str">
        <x:v>Original 34</x:v>
      </x:c>
      <x:c r="C19" t="n">
        <x:v>2026</x:v>
      </x:c>
      <x:c r="D19" t="str">
        <x:v>Crop / farm management</x:v>
      </x:c>
      <x:c r="E19" t="str">
        <x:v>Journal article</x:v>
      </x:c>
      <x:c r="F19" t="str">
        <x:v>Multi-domain</x:v>
      </x:c>
      <x:c r="G19" t="str">
        <x:v>Simulation</x:v>
      </x:c>
      <x:c r="H19" t="str">
        <x:v>Hybrid</x:v>
      </x:c>
      <x:c r="I19" t="str">
        <x:v>Direct</x:v>
      </x:c>
      <x:c r="J19" t="str">
        <x:v>Yes</x:v>
      </x:c>
      <x:c r="K19" t="str">
        <x:v>No</x:v>
      </x:c>
      <x:c r="L19" t="str">
        <x:v>NR</x:v>
      </x:c>
      <x:c r="M19" t="str">
        <x:v>NR</x:v>
      </x:c>
      <x:c r="N19" t="n">
        <x:v>11</x:v>
      </x:c>
      <x:c r="O19" t="str">
        <x:v>SF18</x:v>
      </x:c>
      <x:c r="P19" t="str">
        <x:v>NA</x:v>
      </x:c>
      <x:c r="Q19" t="str">
        <x:v>NR (simulation not tied to a specific farm or region)</x:v>
      </x:c>
      <x:c r="R19" t="str">
        <x:v>Journal of Wireless Mobile Networks, Ubiquitous Computing, and Dependable Applications</x:v>
      </x:c>
      <x:c r="S19" t="str">
        <x:v>Quantum Machine Learning-Enhanced Multiagent Reinforcement Learning for Intelligent Crop Resource Allocation in IoT-Enabled Smart Agriculture</x:v>
      </x:c>
    </x:row>
    <x:row r="20">
      <x:c r="A20" t="str">
        <x:v>S19</x:v>
      </x:c>
      <x:c r="B20" t="str">
        <x:v>Original 34</x:v>
      </x:c>
      <x:c r="C20" t="n">
        <x:v>2024</x:v>
      </x:c>
      <x:c r="D20" t="str">
        <x:v>Workforce / robotics / task allocation</x:v>
      </x:c>
      <x:c r="E20" t="str">
        <x:v>Journal article</x:v>
      </x:c>
      <x:c r="F20" t="str">
        <x:v>Single-domain</x:v>
      </x:c>
      <x:c r="G20" t="str">
        <x:v>Controlled experiment</x:v>
      </x:c>
      <x:c r="H20" t="str">
        <x:v>Centralised</x:v>
      </x:c>
      <x:c r="I20" t="str">
        <x:v>Indirect</x:v>
      </x:c>
      <x:c r="J20" t="str">
        <x:v>Yes</x:v>
      </x:c>
      <x:c r="K20" t="str">
        <x:v>No</x:v>
      </x:c>
      <x:c r="L20" t="str">
        <x:v>NR</x:v>
      </x:c>
      <x:c r="M20" t="str">
        <x:v>NR</x:v>
      </x:c>
      <x:c r="N20" t="n">
        <x:v>13</x:v>
      </x:c>
      <x:c r="O20" t="str">
        <x:v>SF19</x:v>
      </x:c>
      <x:c r="P20" t="str">
        <x:v>NA</x:v>
      </x:c>
      <x:c r="Q20" t="str">
        <x:v>Indonesia (research context); agricultural application evaluated mainly in generic simulation/laboratory robot proof of concept</x:v>
      </x:c>
      <x:c r="R20" t="str">
        <x:v>Journal of Advanced Research in Applied Sciences and Engineering Technology</x:v>
      </x:c>
      <x:c r="S20" t="str">
        <x:v>Modification of the Ant Colony Optimization Algorithm for Solving Multi-Agent Task Allocation Problem in Agricultural Application</x:v>
      </x:c>
    </x:row>
    <x:row r="21">
      <x:c r="A21" t="str">
        <x:v>S20</x:v>
      </x:c>
      <x:c r="B21" t="str">
        <x:v>Original 34</x:v>
      </x:c>
      <x:c r="C21" t="n">
        <x:v>2020</x:v>
      </x:c>
      <x:c r="D21" t="str">
        <x:v>Irrigation / water management</x:v>
      </x:c>
      <x:c r="E21" t="str">
        <x:v>Conference paper</x:v>
      </x:c>
      <x:c r="F21" t="str">
        <x:v>Single-domain</x:v>
      </x:c>
      <x:c r="G21" t="str">
        <x:v>Simulation</x:v>
      </x:c>
      <x:c r="H21" t="str">
        <x:v>Decentralised</x:v>
      </x:c>
      <x:c r="I21" t="str">
        <x:v>Direct</x:v>
      </x:c>
      <x:c r="J21" t="str">
        <x:v>Yes</x:v>
      </x:c>
      <x:c r="K21" t="str">
        <x:v>No</x:v>
      </x:c>
      <x:c r="L21" t="str">
        <x:v>NR</x:v>
      </x:c>
      <x:c r="M21" t="str">
        <x:v>NR</x:v>
      </x:c>
      <x:c r="N21" t="n">
        <x:v>13</x:v>
      </x:c>
      <x:c r="O21" t="str">
        <x:v>SF16</x:v>
      </x:c>
      <x:c r="P21" t="str">
        <x:v>S16</x:v>
      </x:c>
      <x:c r="Q21" t="str">
        <x:v>New Zealand community-irrigation context; synthetic farms based on common New Zealand farm properties</x:v>
      </x:c>
      <x:c r="R21" t="str">
        <x:v>Smart Innovation, Systems and Technologies</x:v>
      </x:c>
      <x:c r="S21" t="str">
        <x:v>Improving Water Allocation Using Multi-agent Negotiation Mechanisms</x:v>
      </x:c>
    </x:row>
    <x:row r="22">
      <x:c r="A22" t="str">
        <x:v>S21</x:v>
      </x:c>
      <x:c r="B22" t="str">
        <x:v>Original 34</x:v>
      </x:c>
      <x:c r="C22" t="n">
        <x:v>2026</x:v>
      </x:c>
      <x:c r="D22" t="str">
        <x:v>Irrigation / water management</x:v>
      </x:c>
      <x:c r="E22" t="str">
        <x:v>Journal article</x:v>
      </x:c>
      <x:c r="F22" t="str">
        <x:v>Multi-domain</x:v>
      </x:c>
      <x:c r="G22" t="str">
        <x:v>Simulation</x:v>
      </x:c>
      <x:c r="H22" t="str">
        <x:v>Hybrid</x:v>
      </x:c>
      <x:c r="I22" t="str">
        <x:v>Direct</x:v>
      </x:c>
      <x:c r="J22" t="str">
        <x:v>Yes</x:v>
      </x:c>
      <x:c r="K22" t="str">
        <x:v>No</x:v>
      </x:c>
      <x:c r="L22" t="str">
        <x:v>NR</x:v>
      </x:c>
      <x:c r="M22" t="str">
        <x:v>Yes</x:v>
      </x:c>
      <x:c r="N22" t="n">
        <x:v>14</x:v>
      </x:c>
      <x:c r="O22" t="str">
        <x:v>SF21</x:v>
      </x:c>
      <x:c r="P22" t="str">
        <x:v>NA</x:v>
      </x:c>
      <x:c r="Q22" t="str">
        <x:v>India; model/data examples include Karnataka and Telangana with cross-region crop-mapping validation in Andhra Pradesh; irrigation control remains simulation-based</x:v>
      </x:c>
      <x:c r="R22" t="str">
        <x:v>Plant Science Today</x:v>
      </x:c>
      <x:c r="S22" t="str">
        <x:v>AI-driven multi-agent framework for smart irrigation and crop health monitoring in Indian rice and sugarcane farming</x:v>
      </x:c>
    </x:row>
    <x:row r="23">
      <x:c r="A23" t="str">
        <x:v>S22</x:v>
      </x:c>
      <x:c r="B23" t="str">
        <x:v>Original 34</x:v>
      </x:c>
      <x:c r="C23" t="n">
        <x:v>2014</x:v>
      </x:c>
      <x:c r="D23" t="str">
        <x:v>Irrigation / water management</x:v>
      </x:c>
      <x:c r="E23" t="str">
        <x:v>Conference paper</x:v>
      </x:c>
      <x:c r="F23" t="str">
        <x:v>Integrated-system</x:v>
      </x:c>
      <x:c r="G23" t="str">
        <x:v>Simulation</x:v>
      </x:c>
      <x:c r="H23" t="str">
        <x:v>Hierarchical</x:v>
      </x:c>
      <x:c r="I23" t="str">
        <x:v>Direct</x:v>
      </x:c>
      <x:c r="J23" t="str">
        <x:v>Yes</x:v>
      </x:c>
      <x:c r="K23" t="str">
        <x:v>No</x:v>
      </x:c>
      <x:c r="L23" t="str">
        <x:v>NR</x:v>
      </x:c>
      <x:c r="M23" t="str">
        <x:v>NR</x:v>
      </x:c>
      <x:c r="N23" t="n">
        <x:v>12</x:v>
      </x:c>
      <x:c r="O23" t="str">
        <x:v>SF13</x:v>
      </x:c>
      <x:c r="P23" t="str">
        <x:v>S13</x:v>
      </x:c>
      <x:c r="Q23" t="str">
        <x:v>Adour-Garonne Basin, south-west France; implemented on the upstream Garonne watershed</x:v>
      </x:c>
      <x:c r="R23" t="str">
        <x:v>Lecture Notes in Computer Science (including subseries Lecture Notes in Artificial Intelligence and Lecture Notes in Bioinformatics)</x:v>
      </x:c>
      <x:c r="S23" t="str">
        <x:v>The MAELIA Multi-agent platform for integrated analysis of interactions between agricultural land-use and low-water management strategies</x:v>
      </x:c>
    </x:row>
    <x:row r="24">
      <x:c r="A24" t="str">
        <x:v>S23</x:v>
      </x:c>
      <x:c r="B24" t="str">
        <x:v>Original 34</x:v>
      </x:c>
      <x:c r="C24" t="n">
        <x:v>2024</x:v>
      </x:c>
      <x:c r="D24" t="str">
        <x:v>Irrigation / water management</x:v>
      </x:c>
      <x:c r="E24" t="str">
        <x:v>Conference paper</x:v>
      </x:c>
      <x:c r="F24" t="str">
        <x:v>Single-domain</x:v>
      </x:c>
      <x:c r="G24" t="str">
        <x:v>Simulation</x:v>
      </x:c>
      <x:c r="H24" t="str">
        <x:v>Hierarchical</x:v>
      </x:c>
      <x:c r="I24" t="str">
        <x:v>Direct</x:v>
      </x:c>
      <x:c r="J24" t="str">
        <x:v>Yes</x:v>
      </x:c>
      <x:c r="K24" t="str">
        <x:v>No</x:v>
      </x:c>
      <x:c r="L24" t="str">
        <x:v>NR</x:v>
      </x:c>
      <x:c r="M24" t="str">
        <x:v>NR</x:v>
      </x:c>
      <x:c r="N24" t="n">
        <x:v>13</x:v>
      </x:c>
      <x:c r="O24" t="str">
        <x:v>SF08</x:v>
      </x:c>
      <x:c r="P24" t="str">
        <x:v>S08</x:v>
      </x:c>
      <x:c r="Q24" t="str">
        <x:v>Lethbridge College Research Farm, southern Alberta, Canada</x:v>
      </x:c>
      <x:c r="R24" t="str">
        <x:v>IFAC-PapersOnLine</x:v>
      </x:c>
      <x:c r="S24" t="str">
        <x:v>Semi-centralized Multi-agent RL for Irrigation Scheduling</x:v>
      </x:c>
    </x:row>
    <x:row r="25">
      <x:c r="A25" t="str">
        <x:v>S24</x:v>
      </x:c>
      <x:c r="B25" t="str">
        <x:v>Original 34</x:v>
      </x:c>
      <x:c r="C25" t="n">
        <x:v>2019</x:v>
      </x:c>
      <x:c r="D25" t="str">
        <x:v>Irrigation / water management</x:v>
      </x:c>
      <x:c r="E25" t="str">
        <x:v>Conference paper</x:v>
      </x:c>
      <x:c r="F25" t="str">
        <x:v>Single-domain</x:v>
      </x:c>
      <x:c r="G25" t="str">
        <x:v>Simulation</x:v>
      </x:c>
      <x:c r="H25" t="str">
        <x:v>Centralised</x:v>
      </x:c>
      <x:c r="I25" t="str">
        <x:v>Direct</x:v>
      </x:c>
      <x:c r="J25" t="str">
        <x:v>Yes</x:v>
      </x:c>
      <x:c r="K25" t="str">
        <x:v>No</x:v>
      </x:c>
      <x:c r="L25" t="str">
        <x:v>NR</x:v>
      </x:c>
      <x:c r="M25" t="str">
        <x:v>NR</x:v>
      </x:c>
      <x:c r="N25" t="n">
        <x:v>12</x:v>
      </x:c>
      <x:c r="O25" t="str">
        <x:v>SF24</x:v>
      </x:c>
      <x:c r="P25" t="str">
        <x:v>NA</x:v>
      </x:c>
      <x:c r="Q25" t="str">
        <x:v>Salamanca province, Spain</x:v>
      </x:c>
      <x:c r="R25" t="str">
        <x:v>Procedia Computer Science</x:v>
      </x:c>
      <x:c r="S25" t="str">
        <x:v>Intelligent multi-agent system for water reduction in automotive irrigation processes</x:v>
      </x:c>
    </x:row>
    <x:row r="26">
      <x:c r="A26" t="str">
        <x:v>S25</x:v>
      </x:c>
      <x:c r="B26" t="str">
        <x:v>Original 34</x:v>
      </x:c>
      <x:c r="C26" t="n">
        <x:v>2023</x:v>
      </x:c>
      <x:c r="D26" t="str">
        <x:v>Workforce / robotics / task allocation</x:v>
      </x:c>
      <x:c r="E26" t="str">
        <x:v>Conference paper</x:v>
      </x:c>
      <x:c r="F26" t="str">
        <x:v>Single-domain</x:v>
      </x:c>
      <x:c r="G26" t="str">
        <x:v>Simulation</x:v>
      </x:c>
      <x:c r="H26" t="str">
        <x:v>Centralised</x:v>
      </x:c>
      <x:c r="I26" t="str">
        <x:v>Indirect</x:v>
      </x:c>
      <x:c r="J26" t="str">
        <x:v>Yes</x:v>
      </x:c>
      <x:c r="K26" t="str">
        <x:v>No</x:v>
      </x:c>
      <x:c r="L26" t="str">
        <x:v>NR</x:v>
      </x:c>
      <x:c r="M26" t="str">
        <x:v>NR</x:v>
      </x:c>
      <x:c r="N26" t="n">
        <x:v>14</x:v>
      </x:c>
      <x:c r="O26" t="str">
        <x:v>SF25</x:v>
      </x:c>
      <x:c r="P26" t="str">
        <x:v>S33; S34</x:v>
      </x:c>
      <x:c r="Q26" t="str">
        <x:v>Commercial soft-fruit farm; specific farm location NR</x:v>
      </x:c>
      <x:c r="R26" t="str">
        <x:v>Lecture Notes in Computer Science (including subseries Lecture Notes in Artificial Intelligence and Lecture Notes in Bioinformatics)</x:v>
      </x:c>
      <x:c r="S26" t="str">
        <x:v>Challenges for Multi-Agent Based Agricultural Workforce Management</x:v>
      </x:c>
    </x:row>
    <x:row r="27">
      <x:c r="A27" t="str">
        <x:v>S26</x:v>
      </x:c>
      <x:c r="B27" t="str">
        <x:v>Original 34</x:v>
      </x:c>
      <x:c r="C27" t="n">
        <x:v>2021</x:v>
      </x:c>
      <x:c r="D27" t="str">
        <x:v>Irrigation / water management</x:v>
      </x:c>
      <x:c r="E27" t="str">
        <x:v>Journal article</x:v>
      </x:c>
      <x:c r="F27" t="str">
        <x:v>Integrated-system</x:v>
      </x:c>
      <x:c r="G27" t="str">
        <x:v>Simulation</x:v>
      </x:c>
      <x:c r="H27" t="str">
        <x:v>Hybrid</x:v>
      </x:c>
      <x:c r="I27" t="str">
        <x:v>Direct</x:v>
      </x:c>
      <x:c r="J27" t="str">
        <x:v>Yes</x:v>
      </x:c>
      <x:c r="K27" t="str">
        <x:v>No</x:v>
      </x:c>
      <x:c r="L27" t="str">
        <x:v>Yes</x:v>
      </x:c>
      <x:c r="M27" t="str">
        <x:v>Yes</x:v>
      </x:c>
      <x:c r="N27" t="n">
        <x:v>14</x:v>
      </x:c>
      <x:c r="O27" t="str">
        <x:v>SF26</x:v>
      </x:c>
      <x:c r="P27" t="str">
        <x:v>NA</x:v>
      </x:c>
      <x:c r="Q27" t="str">
        <x:v>Colorado River Basin, Western United States and Mexico</x:v>
      </x:c>
      <x:c r="R27" t="str">
        <x:v>Water Resources Research</x:v>
      </x:c>
      <x:c r="S27" t="str">
        <x:v>Assessing Adaptive Irrigation Impacts on Water Scarcity in Nonstationary Environments—A Multi-Agent Reinforcement Learning Approach</x:v>
      </x:c>
    </x:row>
    <x:row r="28">
      <x:c r="A28" t="str">
        <x:v>S27</x:v>
      </x:c>
      <x:c r="B28" t="str">
        <x:v>Original 34</x:v>
      </x:c>
      <x:c r="C28" t="n">
        <x:v>2013</x:v>
      </x:c>
      <x:c r="D28" t="str">
        <x:v>Irrigation / water management</x:v>
      </x:c>
      <x:c r="E28" t="str">
        <x:v>Journal article</x:v>
      </x:c>
      <x:c r="F28" t="str">
        <x:v>Integrated-system</x:v>
      </x:c>
      <x:c r="G28" t="str">
        <x:v>Simulation</x:v>
      </x:c>
      <x:c r="H28" t="str">
        <x:v>Decentralised</x:v>
      </x:c>
      <x:c r="I28" t="str">
        <x:v>Direct</x:v>
      </x:c>
      <x:c r="J28" t="str">
        <x:v>Yes</x:v>
      </x:c>
      <x:c r="K28" t="str">
        <x:v>No</x:v>
      </x:c>
      <x:c r="L28" t="str">
        <x:v>NR</x:v>
      </x:c>
      <x:c r="M28" t="str">
        <x:v>NR</x:v>
      </x:c>
      <x:c r="N28" t="n">
        <x:v>13</x:v>
      </x:c>
      <x:c r="O28" t="str">
        <x:v>SF27</x:v>
      </x:c>
      <x:c r="P28" t="str">
        <x:v>NA</x:v>
      </x:c>
      <x:c r="Q28" t="str">
        <x:v>Venice Lagoon Watershed, north-east Italy</x:v>
      </x:c>
      <x:c r="R28" t="str">
        <x:v>Italian Journal of Agronomy</x:v>
      </x:c>
      <x:c r="S28" t="str">
        <x:v>Multi-agent agro-economic simulation of irrigation water demand with climate services for climate change adaptation</x:v>
      </x:c>
    </x:row>
    <x:row r="29">
      <x:c r="A29" t="str">
        <x:v>S28</x:v>
      </x:c>
      <x:c r="B29" t="str">
        <x:v>Original 34</x:v>
      </x:c>
      <x:c r="C29" t="n">
        <x:v>2010</x:v>
      </x:c>
      <x:c r="D29" t="str">
        <x:v>Soil / nutrient / environmental management</x:v>
      </x:c>
      <x:c r="E29" t="str">
        <x:v>Journal article</x:v>
      </x:c>
      <x:c r="F29" t="str">
        <x:v>Integrated-system</x:v>
      </x:c>
      <x:c r="G29" t="str">
        <x:v>Simulation</x:v>
      </x:c>
      <x:c r="H29" t="str">
        <x:v>Hierarchical</x:v>
      </x:c>
      <x:c r="I29" t="str">
        <x:v>Direct</x:v>
      </x:c>
      <x:c r="J29" t="str">
        <x:v>Yes</x:v>
      </x:c>
      <x:c r="K29" t="str">
        <x:v>No</x:v>
      </x:c>
      <x:c r="L29" t="str">
        <x:v>NR</x:v>
      </x:c>
      <x:c r="M29" t="str">
        <x:v>NR</x:v>
      </x:c>
      <x:c r="N29" t="n">
        <x:v>14</x:v>
      </x:c>
      <x:c r="O29" t="str">
        <x:v>SF28</x:v>
      </x:c>
      <x:c r="P29" t="str">
        <x:v>NA</x:v>
      </x:c>
      <x:c r="Q29" t="str">
        <x:v>Flanders, Belgium</x:v>
      </x:c>
      <x:c r="R29" t="str">
        <x:v>Journal of Environmental Planning and Management</x:v>
      </x:c>
      <x:c r="S29" t="str">
        <x:v>A multi-agent simulation model for spatial optimisation of manure allocation</x:v>
      </x:c>
    </x:row>
    <x:row r="30">
      <x:c r="A30" t="str">
        <x:v>S29</x:v>
      </x:c>
      <x:c r="B30" t="str">
        <x:v>Original 34</x:v>
      </x:c>
      <x:c r="C30" t="n">
        <x:v>2024</x:v>
      </x:c>
      <x:c r="D30" t="str">
        <x:v>Energy / WEF nexus</x:v>
      </x:c>
      <x:c r="E30" t="str">
        <x:v>Conference paper</x:v>
      </x:c>
      <x:c r="F30" t="str">
        <x:v>Single-domain</x:v>
      </x:c>
      <x:c r="G30" t="str">
        <x:v>Simulation</x:v>
      </x:c>
      <x:c r="H30" t="str">
        <x:v>Hybrid</x:v>
      </x:c>
      <x:c r="I30" t="str">
        <x:v>Indirect</x:v>
      </x:c>
      <x:c r="J30" t="str">
        <x:v>Yes</x:v>
      </x:c>
      <x:c r="K30" t="str">
        <x:v>No</x:v>
      </x:c>
      <x:c r="L30" t="str">
        <x:v>NR</x:v>
      </x:c>
      <x:c r="M30" t="str">
        <x:v>NR</x:v>
      </x:c>
      <x:c r="N30" t="n">
        <x:v>12</x:v>
      </x:c>
      <x:c r="O30" t="str">
        <x:v>SF05</x:v>
      </x:c>
      <x:c r="P30" t="str">
        <x:v>S05; S11</x:v>
      </x:c>
      <x:c r="Q30" t="str">
        <x:v>NR (simulation-based dairy-farm community; no operational farm location specified)</x:v>
      </x:c>
      <x:c r="R30" t="str">
        <x:v>Communications in Computer and Information Science</x:v>
      </x:c>
      <x:c r="S30" t="str">
        <x:v>A Multi-agent Systems Approach for Peer-to-Peer Energy Trading in Dairy Farming</x:v>
      </x:c>
    </x:row>
    <x:row r="31">
      <x:c r="A31" t="str">
        <x:v>S30</x:v>
      </x:c>
      <x:c r="B31" t="str">
        <x:v>Original 34</x:v>
      </x:c>
      <x:c r="C31" t="n">
        <x:v>2018</x:v>
      </x:c>
      <x:c r="D31" t="str">
        <x:v>Irrigation / water management</x:v>
      </x:c>
      <x:c r="E31" t="str">
        <x:v>Conference paper</x:v>
      </x:c>
      <x:c r="F31" t="str">
        <x:v>Single-domain</x:v>
      </x:c>
      <x:c r="G31" t="str">
        <x:v>Simulation</x:v>
      </x:c>
      <x:c r="H31" t="str">
        <x:v>Distributed</x:v>
      </x:c>
      <x:c r="I31" t="str">
        <x:v>Indirect</x:v>
      </x:c>
      <x:c r="J31" t="str">
        <x:v>Yes</x:v>
      </x:c>
      <x:c r="K31" t="str">
        <x:v>No</x:v>
      </x:c>
      <x:c r="L31" t="str">
        <x:v>NR</x:v>
      </x:c>
      <x:c r="M31" t="str">
        <x:v>NR</x:v>
      </x:c>
      <x:c r="N31" t="n">
        <x:v>13</x:v>
      </x:c>
      <x:c r="O31" t="str">
        <x:v>SF30</x:v>
      </x:c>
      <x:c r="P31" t="str">
        <x:v>NA</x:v>
      </x:c>
      <x:c r="Q31" t="str">
        <x:v>Wageningen, Netherlands — historical 1991 weather data used in simulation</x:v>
      </x:c>
      <x:c r="R31" t="str">
        <x:v>IFAC-PapersOnLine</x:v>
      </x:c>
      <x:c r="S31" t="str">
        <x:v>Heterogeneous multi-agent resource allocation through multi-bidding with applications to precision agriculture</x:v>
      </x:c>
    </x:row>
    <x:row r="32">
      <x:c r="A32" t="str">
        <x:v>S31</x:v>
      </x:c>
      <x:c r="B32" t="str">
        <x:v>Original 34</x:v>
      </x:c>
      <x:c r="C32" t="n">
        <x:v>2022</x:v>
      </x:c>
      <x:c r="D32" t="str">
        <x:v>Workforce / robotics / task allocation</x:v>
      </x:c>
      <x:c r="E32" t="str">
        <x:v>Conference paper</x:v>
      </x:c>
      <x:c r="F32" t="str">
        <x:v>Single-domain</x:v>
      </x:c>
      <x:c r="G32" t="str">
        <x:v>Simulation</x:v>
      </x:c>
      <x:c r="H32" t="str">
        <x:v>Decentralised</x:v>
      </x:c>
      <x:c r="I32" t="str">
        <x:v>Indirect</x:v>
      </x:c>
      <x:c r="J32" t="str">
        <x:v>Yes</x:v>
      </x:c>
      <x:c r="K32" t="str">
        <x:v>No</x:v>
      </x:c>
      <x:c r="L32" t="str">
        <x:v>NR</x:v>
      </x:c>
      <x:c r="M32" t="str">
        <x:v>NR</x:v>
      </x:c>
      <x:c r="N32" t="n">
        <x:v>12</x:v>
      </x:c>
      <x:c r="O32" t="str">
        <x:v>SF31</x:v>
      </x:c>
      <x:c r="P32" t="str">
        <x:v>NA</x:v>
      </x:c>
      <x:c r="Q32" t="str">
        <x:v>Generic agricultural field-operation scenarios; no specific geographical case study</x:v>
      </x:c>
      <x:c r="R32" t="str">
        <x:v>Journal of Physics: Conference Series</x:v>
      </x:c>
      <x:c r="S32" t="str">
        <x:v>Dynamic Task Allocation Method for Heterogenous Multiagent System in Uncertain Scenarios of Agricultural Field Operation</x:v>
      </x:c>
    </x:row>
    <x:row r="33">
      <x:c r="A33" t="str">
        <x:v>S32</x:v>
      </x:c>
      <x:c r="B33" t="str">
        <x:v>Original 34</x:v>
      </x:c>
      <x:c r="C33" t="n">
        <x:v>2012</x:v>
      </x:c>
      <x:c r="D33" t="str">
        <x:v>Irrigation / water management</x:v>
      </x:c>
      <x:c r="E33" t="str">
        <x:v>Journal article</x:v>
      </x:c>
      <x:c r="F33" t="str">
        <x:v>Single-domain</x:v>
      </x:c>
      <x:c r="G33" t="str">
        <x:v>Simulation</x:v>
      </x:c>
      <x:c r="H33" t="str">
        <x:v>Decentralised</x:v>
      </x:c>
      <x:c r="I33" t="str">
        <x:v>Direct</x:v>
      </x:c>
      <x:c r="J33" t="str">
        <x:v>Yes</x:v>
      </x:c>
      <x:c r="K33" t="str">
        <x:v>No</x:v>
      </x:c>
      <x:c r="L33" t="str">
        <x:v>NR</x:v>
      </x:c>
      <x:c r="M33" t="str">
        <x:v>NR</x:v>
      </x:c>
      <x:c r="N33" t="n">
        <x:v>13</x:v>
      </x:c>
      <x:c r="O33" t="str">
        <x:v>SF32</x:v>
      </x:c>
      <x:c r="P33" t="str">
        <x:v>NA</x:v>
      </x:c>
      <x:c r="Q33" t="str">
        <x:v>Lake Koronia, Greece</x:v>
      </x:c>
      <x:c r="R33" t="str">
        <x:v>CIVIL ENGINEERING AND ENVIRONMENTAL SYSTEMS</x:v>
      </x:c>
      <x:c r="S33" t="str">
        <x:v>A constrained multi-agent system compensating for self-lucrative behaviours in water resource sharing</x:v>
      </x:c>
    </x:row>
    <x:row r="34">
      <x:c r="A34" t="str">
        <x:v>S33</x:v>
      </x:c>
      <x:c r="B34" t="str">
        <x:v>Original 34</x:v>
      </x:c>
      <x:c r="C34" t="n">
        <x:v>2022</x:v>
      </x:c>
      <x:c r="D34" t="str">
        <x:v>Workforce / robotics / task allocation</x:v>
      </x:c>
      <x:c r="E34" t="str">
        <x:v>Journal article</x:v>
      </x:c>
      <x:c r="F34" t="str">
        <x:v>Single-domain</x:v>
      </x:c>
      <x:c r="G34" t="str">
        <x:v>Prototype</x:v>
      </x:c>
      <x:c r="H34" t="str">
        <x:v>Centralised</x:v>
      </x:c>
      <x:c r="I34" t="str">
        <x:v>Indirect</x:v>
      </x:c>
      <x:c r="J34" t="str">
        <x:v>Yes</x:v>
      </x:c>
      <x:c r="K34" t="str">
        <x:v>No</x:v>
      </x:c>
      <x:c r="L34" t="str">
        <x:v>NR</x:v>
      </x:c>
      <x:c r="M34" t="str">
        <x:v>NR</x:v>
      </x:c>
      <x:c r="N34" t="n">
        <x:v>14</x:v>
      </x:c>
      <x:c r="O34" t="str">
        <x:v>SF25</x:v>
      </x:c>
      <x:c r="P34" t="str">
        <x:v>S25; S34</x:v>
      </x:c>
      <x:c r="Q34" t="str">
        <x:v>Commercial soft-fruit farm and small research farm; specific UK farm location NR</x:v>
      </x:c>
      <x:c r="R34" t="str">
        <x:v>FRONTIERS IN ROBOTICS AND AI</x:v>
      </x:c>
      <x:c r="S34" t="str">
        <x:v>Multi-agent task allocation for harvest management</x:v>
      </x:c>
    </x:row>
    <x:row r="35">
      <x:c r="A35" t="str">
        <x:v>S34</x:v>
      </x:c>
      <x:c r="B35" t="str">
        <x:v>Original 34</x:v>
      </x:c>
      <x:c r="C35" t="n">
        <x:v>2022</x:v>
      </x:c>
      <x:c r="D35" t="str">
        <x:v>Workforce / robotics / task allocation</x:v>
      </x:c>
      <x:c r="E35" t="str">
        <x:v>Conference paper</x:v>
      </x:c>
      <x:c r="F35" t="str">
        <x:v>Single-domain</x:v>
      </x:c>
      <x:c r="G35" t="str">
        <x:v>Prototype</x:v>
      </x:c>
      <x:c r="H35" t="str">
        <x:v>Centralised</x:v>
      </x:c>
      <x:c r="I35" t="str">
        <x:v>Indirect</x:v>
      </x:c>
      <x:c r="J35" t="str">
        <x:v>Yes</x:v>
      </x:c>
      <x:c r="K35" t="str">
        <x:v>No</x:v>
      </x:c>
      <x:c r="L35" t="str">
        <x:v>NR</x:v>
      </x:c>
      <x:c r="M35" t="str">
        <x:v>NR</x:v>
      </x:c>
      <x:c r="N35" t="n">
        <x:v>13</x:v>
      </x:c>
      <x:c r="O35" t="str">
        <x:v>SF25</x:v>
      </x:c>
      <x:c r="P35" t="str">
        <x:v>S25; S33</x:v>
      </x:c>
      <x:c r="Q35" t="str">
        <x:v>Commercial soft-fruit farm; specific UK farm location NR</x:v>
      </x:c>
      <x:c r="R35" t="str">
        <x:v>ADVANCES IN PRACTICAL APPLICATIONS OF AGENTS, MULTI-AGENT SYSTEMS, AND COMPLEX SYSTEMS SIMULATION. THE PAAMS COLLECTION, PAAMS 2022</x:v>
      </x:c>
      <x:c r="S35" t="str">
        <x:v>Multi-Agent Task Allocation Techniques for Harvest Team Formation</x:v>
      </x:c>
    </x:row>
    <x:row r="36">
      <x:c r="A36" t="str">
        <x:v>S35</x:v>
      </x:c>
      <x:c r="B36" t="str">
        <x:v>Citation search +19</x:v>
      </x:c>
      <x:c r="C36" t="n">
        <x:v>2011</x:v>
      </x:c>
      <x:c r="D36" t="str">
        <x:v>Crop / farm management</x:v>
      </x:c>
      <x:c r="E36" t="str">
        <x:v>Journal article</x:v>
      </x:c>
      <x:c r="F36" t="str">
        <x:v>Integrated-system</x:v>
      </x:c>
      <x:c r="G36" t="str">
        <x:v>Simulation</x:v>
      </x:c>
      <x:c r="H36" t="str">
        <x:v>Hybrid</x:v>
      </x:c>
      <x:c r="I36" t="str">
        <x:v>Direct</x:v>
      </x:c>
      <x:c r="J36" t="str">
        <x:v>Yes</x:v>
      </x:c>
      <x:c r="K36" t="str">
        <x:v>No</x:v>
      </x:c>
      <x:c r="L36" t="str">
        <x:v>Yes</x:v>
      </x:c>
      <x:c r="M36" t="str">
        <x:v>Yes</x:v>
      </x:c>
      <x:c r="N36" t="n">
        <x:v>14</x:v>
      </x:c>
      <x:c r="O36" t="str">
        <x:v>SF35</x:v>
      </x:c>
      <x:c r="P36" t="str"/>
      <x:c r="Q36" t="str">
        <x:v>Platform applications demonstrated across Chile, Germany, Ghana, Thailand, Uganda, and Vietnam</x:v>
      </x:c>
      <x:c r="R36" t="str">
        <x:v>Environmental Modelling &amp; Software</x:v>
      </x:c>
      <x:c r="S36" t="str">
        <x:v>An agent-based simulation model of human–environment interactions in agricultural systems</x:v>
      </x:c>
    </x:row>
    <x:row r="37">
      <x:c r="A37" t="str">
        <x:v>S36</x:v>
      </x:c>
      <x:c r="B37" t="str">
        <x:v>Citation search +19</x:v>
      </x:c>
      <x:c r="C37" t="n">
        <x:v>2017</x:v>
      </x:c>
      <x:c r="D37" t="str">
        <x:v>Crop / farm management</x:v>
      </x:c>
      <x:c r="E37" t="str">
        <x:v>Journal article</x:v>
      </x:c>
      <x:c r="F37" t="str">
        <x:v>Integrated-system</x:v>
      </x:c>
      <x:c r="G37" t="str">
        <x:v>Simulation</x:v>
      </x:c>
      <x:c r="H37" t="str">
        <x:v>Decentralised</x:v>
      </x:c>
      <x:c r="I37" t="str">
        <x:v>Direct</x:v>
      </x:c>
      <x:c r="J37" t="str">
        <x:v>Yes</x:v>
      </x:c>
      <x:c r="K37" t="str">
        <x:v>No</x:v>
      </x:c>
      <x:c r="L37" t="str">
        <x:v>Yes</x:v>
      </x:c>
      <x:c r="M37" t="str">
        <x:v>Yes</x:v>
      </x:c>
      <x:c r="N37" t="n">
        <x:v>14</x:v>
      </x:c>
      <x:c r="O37" t="str">
        <x:v>SF36</x:v>
      </x:c>
      <x:c r="P37" t="str"/>
      <x:c r="Q37" t="str">
        <x:v>Mae Sa watershed, northern Thailand; IPM reference data from Doi Angkhang, northern Thailand</x:v>
      </x:c>
      <x:c r="R37" t="str">
        <x:v>Ecological Economics</x:v>
      </x:c>
      <x:c r="S37" t="str">
        <x:v>'Smart' policies to reduce pesticide use and avoid income trade-offs: An agent-based model applied to Thai agriculture</x:v>
      </x:c>
    </x:row>
    <x:row r="38">
      <x:c r="A38" t="str">
        <x:v>S37</x:v>
      </x:c>
      <x:c r="B38" t="str">
        <x:v>Citation search +19</x:v>
      </x:c>
      <x:c r="C38" t="n">
        <x:v>2014</x:v>
      </x:c>
      <x:c r="D38" t="str">
        <x:v>Soil / nutrient / environmental management</x:v>
      </x:c>
      <x:c r="E38" t="str">
        <x:v>Journal article</x:v>
      </x:c>
      <x:c r="F38" t="str">
        <x:v>Integrated-system</x:v>
      </x:c>
      <x:c r="G38" t="str">
        <x:v>Simulation</x:v>
      </x:c>
      <x:c r="H38" t="str">
        <x:v>Hybrid</x:v>
      </x:c>
      <x:c r="I38" t="str">
        <x:v>Direct</x:v>
      </x:c>
      <x:c r="J38" t="str">
        <x:v>Yes</x:v>
      </x:c>
      <x:c r="K38" t="str">
        <x:v>No</x:v>
      </x:c>
      <x:c r="L38" t="str">
        <x:v>Yes</x:v>
      </x:c>
      <x:c r="M38" t="str">
        <x:v>Yes</x:v>
      </x:c>
      <x:c r="N38" t="n">
        <x:v>14</x:v>
      </x:c>
      <x:c r="O38" t="str">
        <x:v>SF37</x:v>
      </x:c>
      <x:c r="P38" t="str"/>
      <x:c r="Q38" t="str">
        <x:v>Chieng Khoi commune, Northwest Vietnam</x:v>
      </x:c>
      <x:c r="R38" t="str">
        <x:v>Agricultural Systems</x:v>
      </x:c>
      <x:c r="S38" t="str">
        <x:v>Ex-ante assessment of soil conservation methods in the uplands of Vietnam: An agent-based modeling approach</x:v>
      </x:c>
    </x:row>
    <x:row r="39">
      <x:c r="A39" t="str">
        <x:v>S38</x:v>
      </x:c>
      <x:c r="B39" t="str">
        <x:v>Citation search +19</x:v>
      </x:c>
      <x:c r="C39" t="n">
        <x:v>2017</x:v>
      </x:c>
      <x:c r="D39" t="str">
        <x:v>Irrigation / water management</x:v>
      </x:c>
      <x:c r="E39" t="str">
        <x:v>Journal article</x:v>
      </x:c>
      <x:c r="F39" t="str">
        <x:v>Single-domain</x:v>
      </x:c>
      <x:c r="G39" t="str">
        <x:v>Simulation</x:v>
      </x:c>
      <x:c r="H39" t="str">
        <x:v>Decentralised</x:v>
      </x:c>
      <x:c r="I39" t="str">
        <x:v>Direct</x:v>
      </x:c>
      <x:c r="J39" t="str">
        <x:v>Yes</x:v>
      </x:c>
      <x:c r="K39" t="str">
        <x:v>No</x:v>
      </x:c>
      <x:c r="L39" t="str">
        <x:v>Yes</x:v>
      </x:c>
      <x:c r="M39" t="str">
        <x:v>NR</x:v>
      </x:c>
      <x:c r="N39" t="n">
        <x:v>13</x:v>
      </x:c>
      <x:c r="O39" t="str">
        <x:v>SF38</x:v>
      </x:c>
      <x:c r="P39" t="str"/>
      <x:c r="Q39" t="str">
        <x:v>Chinese irrigation villages, with calibration/field evidence from central China including the Third Dongfeng Canal, Dangyang, Hubei</x:v>
      </x:c>
      <x:c r="R39" t="str">
        <x:v>Complex Adaptive Systems Modeling</x:v>
      </x:c>
      <x:c r="S39" t="str">
        <x:v>An agent-based simulation of cooperation in the use of irrigation systems</x:v>
      </x:c>
    </x:row>
    <x:row r="40">
      <x:c r="A40" t="str">
        <x:v>S39</x:v>
      </x:c>
      <x:c r="B40" t="str">
        <x:v>Citation search +19</x:v>
      </x:c>
      <x:c r="C40" t="n">
        <x:v>2020</x:v>
      </x:c>
      <x:c r="D40" t="str">
        <x:v>Irrigation / water management</x:v>
      </x:c>
      <x:c r="E40" t="str">
        <x:v>Journal article</x:v>
      </x:c>
      <x:c r="F40" t="str">
        <x:v>Integrated-system</x:v>
      </x:c>
      <x:c r="G40" t="str">
        <x:v>Simulation</x:v>
      </x:c>
      <x:c r="H40" t="str">
        <x:v>Decentralised</x:v>
      </x:c>
      <x:c r="I40" t="str">
        <x:v>Direct</x:v>
      </x:c>
      <x:c r="J40" t="str">
        <x:v>Yes</x:v>
      </x:c>
      <x:c r="K40" t="str">
        <x:v>No</x:v>
      </x:c>
      <x:c r="L40" t="str">
        <x:v>NR</x:v>
      </x:c>
      <x:c r="M40" t="str">
        <x:v>NR</x:v>
      </x:c>
      <x:c r="N40" t="n">
        <x:v>13</x:v>
      </x:c>
      <x:c r="O40" t="str">
        <x:v>SF39</x:v>
      </x:c>
      <x:c r="P40" t="str"/>
      <x:c r="Q40" t="str">
        <x:v>Lower Mississippi River Basin, USA (model calibration context)</x:v>
      </x:c>
      <x:c r="R40" t="str">
        <x:v>Hydrological Sciences Journal</x:v>
      </x:c>
      <x:c r="S40" t="str">
        <x:v>Water management for irrigation, crop yield and social attitudes: a socio-agricultural agent-based model to explore a collective action problem</x:v>
      </x:c>
    </x:row>
    <x:row r="41">
      <x:c r="A41" t="str">
        <x:v>S40</x:v>
      </x:c>
      <x:c r="B41" t="str">
        <x:v>Citation search +19</x:v>
      </x:c>
      <x:c r="C41" t="n">
        <x:v>2011</x:v>
      </x:c>
      <x:c r="D41" t="str">
        <x:v>Crop / farm management</x:v>
      </x:c>
      <x:c r="E41" t="str">
        <x:v>Journal article</x:v>
      </x:c>
      <x:c r="F41" t="str">
        <x:v>Integrated-system</x:v>
      </x:c>
      <x:c r="G41" t="str">
        <x:v>Simulation</x:v>
      </x:c>
      <x:c r="H41" t="str">
        <x:v>Decentralised</x:v>
      </x:c>
      <x:c r="I41" t="str">
        <x:v>Direct</x:v>
      </x:c>
      <x:c r="J41" t="str">
        <x:v>Yes</x:v>
      </x:c>
      <x:c r="K41" t="str">
        <x:v>No</x:v>
      </x:c>
      <x:c r="L41" t="str">
        <x:v>NR</x:v>
      </x:c>
      <x:c r="M41" t="str">
        <x:v>NR</x:v>
      </x:c>
      <x:c r="N41" t="n">
        <x:v>13</x:v>
      </x:c>
      <x:c r="O41" t="str">
        <x:v>SF40</x:v>
      </x:c>
      <x:c r="P41" t="str"/>
      <x:c r="Q41" t="str">
        <x:v>Salt Creek Watershed, Central Illinois, USA (semi-hypothetical farmer population)</x:v>
      </x:c>
      <x:c r="R41" t="str">
        <x:v>Water Resources Research</x:v>
      </x:c>
      <x:c r="S41" t="str">
        <x:v>An agent-based model of farmer decision-making and water quality impacts at the watershed scale under markets for carbon allowances and a second-generation biofuel crop</x:v>
      </x:c>
    </x:row>
    <x:row r="42">
      <x:c r="A42" t="str">
        <x:v>S41</x:v>
      </x:c>
      <x:c r="B42" t="str">
        <x:v>Citation search +19</x:v>
      </x:c>
      <x:c r="C42" t="n">
        <x:v>2018</x:v>
      </x:c>
      <x:c r="D42" t="str">
        <x:v>Irrigation / water management</x:v>
      </x:c>
      <x:c r="E42" t="str">
        <x:v>Journal article</x:v>
      </x:c>
      <x:c r="F42" t="str">
        <x:v>Integrated-system</x:v>
      </x:c>
      <x:c r="G42" t="str">
        <x:v>Simulation</x:v>
      </x:c>
      <x:c r="H42" t="str">
        <x:v>Hierarchical</x:v>
      </x:c>
      <x:c r="I42" t="str">
        <x:v>Direct</x:v>
      </x:c>
      <x:c r="J42" t="str">
        <x:v>Yes</x:v>
      </x:c>
      <x:c r="K42" t="str">
        <x:v>No</x:v>
      </x:c>
      <x:c r="L42" t="str">
        <x:v>NR</x:v>
      </x:c>
      <x:c r="M42" t="str">
        <x:v>NR</x:v>
      </x:c>
      <x:c r="N42" t="n">
        <x:v>13</x:v>
      </x:c>
      <x:c r="O42" t="str">
        <x:v>SF41</x:v>
      </x:c>
      <x:c r="P42" t="str"/>
      <x:c r="Q42" t="str">
        <x:v>Doroudzan irrigation and drainage network, Fars Province, Iran; six management regions downstream of Doroudzan Dam</x:v>
      </x:c>
      <x:c r="R42" t="str">
        <x:v>Agricultural Water Management</x:v>
      </x:c>
      <x:c r="S42" t="str">
        <x:v>A hybrid TOPSIS-agent-based framework for reducing the water demand requested by stakeholders with considering the agents’ characteristics and optimization of cropping pattern</x:v>
      </x:c>
    </x:row>
    <x:row r="43">
      <x:c r="A43" t="str">
        <x:v>S42</x:v>
      </x:c>
      <x:c r="B43" t="str">
        <x:v>Citation search +19</x:v>
      </x:c>
      <x:c r="C43" t="n">
        <x:v>2014</x:v>
      </x:c>
      <x:c r="D43" t="str">
        <x:v>Irrigation / water management</x:v>
      </x:c>
      <x:c r="E43" t="str">
        <x:v>Conference paper</x:v>
      </x:c>
      <x:c r="F43" t="str">
        <x:v>Integrated-system</x:v>
      </x:c>
      <x:c r="G43" t="str">
        <x:v>Simulation</x:v>
      </x:c>
      <x:c r="H43" t="str">
        <x:v>Hybrid</x:v>
      </x:c>
      <x:c r="I43" t="str">
        <x:v>Direct</x:v>
      </x:c>
      <x:c r="J43" t="str">
        <x:v>Yes</x:v>
      </x:c>
      <x:c r="K43" t="str">
        <x:v>No</x:v>
      </x:c>
      <x:c r="L43" t="str">
        <x:v>NR</x:v>
      </x:c>
      <x:c r="M43" t="str">
        <x:v>NR</x:v>
      </x:c>
      <x:c r="N43" t="n">
        <x:v>13</x:v>
      </x:c>
      <x:c r="O43" t="str">
        <x:v>SF42</x:v>
      </x:c>
      <x:c r="P43" t="str">
        <x:v>S52</x:v>
      </x:c>
      <x:c r="Q43" t="str">
        <x:v>Downstream Aveyron River watershed, southwest France; irrigated basin of more than 800 km² with about 40,000 ha usable agricultural area</x:v>
      </x:c>
      <x:c r="R43" t="str">
        <x:v>7th International Congress on Environmental Modelling and Software (iEMSs 2014)</x:v>
      </x:c>
      <x:c r="S43" t="str">
        <x:v>Fine spatio-temporal simulation of cropping and farming systems effects on irrigation withdrawal dynamics within a river basin</x:v>
      </x:c>
    </x:row>
    <x:row r="44">
      <x:c r="A44" t="str">
        <x:v>S43</x:v>
      </x:c>
      <x:c r="B44" t="str">
        <x:v>Citation search +19</x:v>
      </x:c>
      <x:c r="C44" t="n">
        <x:v>2001</x:v>
      </x:c>
      <x:c r="D44" t="str">
        <x:v>Crop / farm management</x:v>
      </x:c>
      <x:c r="E44" t="str">
        <x:v>Journal article</x:v>
      </x:c>
      <x:c r="F44" t="str">
        <x:v>Integrated-system</x:v>
      </x:c>
      <x:c r="G44" t="str">
        <x:v>Simulation</x:v>
      </x:c>
      <x:c r="H44" t="str">
        <x:v>Hybrid</x:v>
      </x:c>
      <x:c r="I44" t="str">
        <x:v>Direct</x:v>
      </x:c>
      <x:c r="J44" t="str">
        <x:v>Yes</x:v>
      </x:c>
      <x:c r="K44" t="str">
        <x:v>No</x:v>
      </x:c>
      <x:c r="L44" t="str">
        <x:v>NR</x:v>
      </x:c>
      <x:c r="M44" t="str">
        <x:v>NR</x:v>
      </x:c>
      <x:c r="N44" t="n">
        <x:v>13</x:v>
      </x:c>
      <x:c r="O44" t="str">
        <x:v>SF43</x:v>
      </x:c>
      <x:c r="P44" t="str"/>
      <x:c r="Q44" t="str">
        <x:v>Empirical agricultural region in Chile; Mercosur policy context; approximately 667 km²</x:v>
      </x:c>
      <x:c r="R44" t="str">
        <x:v>Agricultural Economics</x:v>
      </x:c>
      <x:c r="S44" t="str">
        <x:v>Agent-based spatial models applied to agriculture: a simulation tool for technology diffusion, resource use changes and policy analysis</x:v>
      </x:c>
    </x:row>
    <x:row r="45">
      <x:c r="A45" t="str">
        <x:v>S44</x:v>
      </x:c>
      <x:c r="B45" t="str">
        <x:v>Citation search +19</x:v>
      </x:c>
      <x:c r="C45" t="n">
        <x:v>2003</x:v>
      </x:c>
      <x:c r="D45" t="str">
        <x:v>Irrigation / water management</x:v>
      </x:c>
      <x:c r="E45" t="str">
        <x:v>Journal article</x:v>
      </x:c>
      <x:c r="F45" t="str">
        <x:v>Integrated-system</x:v>
      </x:c>
      <x:c r="G45" t="str">
        <x:v>Simulation</x:v>
      </x:c>
      <x:c r="H45" t="str">
        <x:v>Decentralised</x:v>
      </x:c>
      <x:c r="I45" t="str">
        <x:v>Direct</x:v>
      </x:c>
      <x:c r="J45" t="str">
        <x:v>Yes</x:v>
      </x:c>
      <x:c r="K45" t="str">
        <x:v>No</x:v>
      </x:c>
      <x:c r="L45" t="str">
        <x:v>NR</x:v>
      </x:c>
      <x:c r="M45" t="str">
        <x:v>NR</x:v>
      </x:c>
      <x:c r="N45" t="n">
        <x:v>13</x:v>
      </x:c>
      <x:c r="O45" t="str">
        <x:v>SF44</x:v>
      </x:c>
      <x:c r="P45" t="str"/>
      <x:c r="Q45" t="str">
        <x:v>Kairouan groundwater table, central Tunisia; study zone downstream of the El Haouareb dam</x:v>
      </x:c>
      <x:c r="R45" t="str">
        <x:v>Environmental Modelling &amp; Software</x:v>
      </x:c>
      <x:c r="S45" t="str">
        <x:v>SINUSE: A multi-agent model to negotiate water demand management on a free access water table</x:v>
      </x:c>
    </x:row>
    <x:row r="46">
      <x:c r="A46" t="str">
        <x:v>S45</x:v>
      </x:c>
      <x:c r="B46" t="str">
        <x:v>Citation search +19</x:v>
      </x:c>
      <x:c r="C46" t="n">
        <x:v>2003</x:v>
      </x:c>
      <x:c r="D46" t="str">
        <x:v>Irrigation / water management</x:v>
      </x:c>
      <x:c r="E46" t="str">
        <x:v>Journal article</x:v>
      </x:c>
      <x:c r="F46" t="str">
        <x:v>Integrated-system</x:v>
      </x:c>
      <x:c r="G46" t="str">
        <x:v>Simulation</x:v>
      </x:c>
      <x:c r="H46" t="str">
        <x:v>Hierarchical</x:v>
      </x:c>
      <x:c r="I46" t="str">
        <x:v>Direct</x:v>
      </x:c>
      <x:c r="J46" t="str">
        <x:v>Yes</x:v>
      </x:c>
      <x:c r="K46" t="str">
        <x:v>No</x:v>
      </x:c>
      <x:c r="L46" t="str">
        <x:v>NR</x:v>
      </x:c>
      <x:c r="M46" t="str">
        <x:v>NR</x:v>
      </x:c>
      <x:c r="N46" t="n">
        <x:v>13</x:v>
      </x:c>
      <x:c r="O46" t="str">
        <x:v>SF45</x:v>
      </x:c>
      <x:c r="P46" t="str"/>
      <x:c r="Q46" t="str">
        <x:v>Small agricultural catchment in northern Thailand with upstream/downstream irrigation schemes and villages</x:v>
      </x:c>
      <x:c r="R46" t="str">
        <x:v>Ecological Modelling</x:v>
      </x:c>
      <x:c r="S46" t="str">
        <x:v>Agent based simulation of a small catchment water management in northern Thailand: Description of the CATCHSCAPE model</x:v>
      </x:c>
    </x:row>
    <x:row r="47">
      <x:c r="A47" t="str">
        <x:v>S46</x:v>
      </x:c>
      <x:c r="B47" t="str">
        <x:v>Citation search +19</x:v>
      </x:c>
      <x:c r="C47" t="n">
        <x:v>2004</x:v>
      </x:c>
      <x:c r="D47" t="str">
        <x:v>Irrigation / water management</x:v>
      </x:c>
      <x:c r="E47" t="str">
        <x:v>Journal article</x:v>
      </x:c>
      <x:c r="F47" t="str">
        <x:v>Integrated-system</x:v>
      </x:c>
      <x:c r="G47" t="str">
        <x:v>Simulation</x:v>
      </x:c>
      <x:c r="H47" t="str">
        <x:v>Hierarchical</x:v>
      </x:c>
      <x:c r="I47" t="str">
        <x:v>Direct</x:v>
      </x:c>
      <x:c r="J47" t="str">
        <x:v>Yes</x:v>
      </x:c>
      <x:c r="K47" t="str">
        <x:v>No</x:v>
      </x:c>
      <x:c r="L47" t="str">
        <x:v>NR</x:v>
      </x:c>
      <x:c r="M47" t="str">
        <x:v>NR</x:v>
      </x:c>
      <x:c r="N47" t="n">
        <x:v>13</x:v>
      </x:c>
      <x:c r="O47" t="str">
        <x:v>SF46</x:v>
      </x:c>
      <x:c r="P47" t="str"/>
      <x:c r="Q47" t="str">
        <x:v>Senegal River Valley irrigated systems, West Africa</x:v>
      </x:c>
      <x:c r="R47" t="str">
        <x:v>Agricultural Systems</x:v>
      </x:c>
      <x:c r="S47" t="str">
        <x:v>Suitability of Multi-Agent Simulations to study irrigated system viability: application to case studies in the Senegal River Valley</x:v>
      </x:c>
    </x:row>
    <x:row r="48">
      <x:c r="A48" t="str">
        <x:v>S47</x:v>
      </x:c>
      <x:c r="B48" t="str">
        <x:v>Citation search +19</x:v>
      </x:c>
      <x:c r="C48" t="n">
        <x:v>2007</x:v>
      </x:c>
      <x:c r="D48" t="str">
        <x:v>Soil / nutrient / environmental management</x:v>
      </x:c>
      <x:c r="E48" t="str">
        <x:v>Journal article</x:v>
      </x:c>
      <x:c r="F48" t="str">
        <x:v>Integrated-system</x:v>
      </x:c>
      <x:c r="G48" t="str">
        <x:v>Simulation</x:v>
      </x:c>
      <x:c r="H48" t="str">
        <x:v>Decentralised</x:v>
      </x:c>
      <x:c r="I48" t="str">
        <x:v>Direct</x:v>
      </x:c>
      <x:c r="J48" t="str">
        <x:v>Yes</x:v>
      </x:c>
      <x:c r="K48" t="str">
        <x:v>No</x:v>
      </x:c>
      <x:c r="L48" t="str">
        <x:v>Yes</x:v>
      </x:c>
      <x:c r="M48" t="str">
        <x:v>NR</x:v>
      </x:c>
      <x:c r="N48" t="n">
        <x:v>14</x:v>
      </x:c>
      <x:c r="O48" t="str">
        <x:v>SF47</x:v>
      </x:c>
      <x:c r="P48" t="str"/>
      <x:c r="Q48" t="str">
        <x:v>Magada and Buyemba villages, Lake Victoria Crescent, south-eastern Uganda</x:v>
      </x:c>
      <x:c r="R48" t="str">
        <x:v>Ecological Economics</x:v>
      </x:c>
      <x:c r="S48" t="str">
        <x:v>Simulating soil fertility and poverty dynamics in Uganda: A bio-economic multi-agent systems approach</x:v>
      </x:c>
    </x:row>
    <x:row r="49">
      <x:c r="A49" t="str">
        <x:v>S48</x:v>
      </x:c>
      <x:c r="B49" t="str">
        <x:v>Citation search +19</x:v>
      </x:c>
      <x:c r="C49" t="n">
        <x:v>2025</x:v>
      </x:c>
      <x:c r="D49" t="str">
        <x:v>Irrigation / water management</x:v>
      </x:c>
      <x:c r="E49" t="str">
        <x:v>Journal article</x:v>
      </x:c>
      <x:c r="F49" t="str">
        <x:v>Integrated-system</x:v>
      </x:c>
      <x:c r="G49" t="str">
        <x:v>Simulation</x:v>
      </x:c>
      <x:c r="H49" t="str">
        <x:v>Hybrid</x:v>
      </x:c>
      <x:c r="I49" t="str">
        <x:v>Direct</x:v>
      </x:c>
      <x:c r="J49" t="str">
        <x:v>Yes</x:v>
      </x:c>
      <x:c r="K49" t="str">
        <x:v>No</x:v>
      </x:c>
      <x:c r="L49" t="str">
        <x:v>NR</x:v>
      </x:c>
      <x:c r="M49" t="str">
        <x:v>Yes</x:v>
      </x:c>
      <x:c r="N49" t="n">
        <x:v>14</x:v>
      </x:c>
      <x:c r="O49" t="str">
        <x:v>SF48</x:v>
      </x:c>
      <x:c r="P49" t="str"/>
      <x:c r="Q49" t="str">
        <x:v>Zarrinehrud River Basin, Lake Urmia Basin, Iran; Bukan Dam and 11 agricultural sub-basins</x:v>
      </x:c>
      <x:c r="R49" t="str">
        <x:v>Journal of Hydroinformatics</x:v>
      </x:c>
      <x:c r="S49" t="str">
        <x:v>An adaptive multi-agent model for water allocation under scarcity: application of bankruptcy methods</x:v>
      </x:c>
    </x:row>
    <x:row r="50">
      <x:c r="A50" t="str">
        <x:v>S49</x:v>
      </x:c>
      <x:c r="B50" t="str">
        <x:v>Citation search +19</x:v>
      </x:c>
      <x:c r="C50" t="n">
        <x:v>2022</x:v>
      </x:c>
      <x:c r="D50" t="str">
        <x:v>Irrigation / water management</x:v>
      </x:c>
      <x:c r="E50" t="str">
        <x:v>Journal article</x:v>
      </x:c>
      <x:c r="F50" t="str">
        <x:v>Single-domain</x:v>
      </x:c>
      <x:c r="G50" t="str">
        <x:v>Simulation</x:v>
      </x:c>
      <x:c r="H50" t="str">
        <x:v>Centralised</x:v>
      </x:c>
      <x:c r="I50" t="str">
        <x:v>Direct</x:v>
      </x:c>
      <x:c r="J50" t="str">
        <x:v>Yes</x:v>
      </x:c>
      <x:c r="K50" t="str">
        <x:v>No</x:v>
      </x:c>
      <x:c r="L50" t="str">
        <x:v>NR</x:v>
      </x:c>
      <x:c r="M50" t="str">
        <x:v>Yes</x:v>
      </x:c>
      <x:c r="N50" t="n">
        <x:v>13</x:v>
      </x:c>
      <x:c r="O50" t="str">
        <x:v>SF49</x:v>
      </x:c>
      <x:c r="P50" t="str">
        <x:v>S53</x:v>
      </x:c>
      <x:c r="Q50" t="str">
        <x:v>Large-scale arable-farming simulation using historical weather from Eelde, the Netherlands</x:v>
      </x:c>
      <x:c r="R50" t="str">
        <x:v>IEEE Transactions on Control Systems Technology</x:v>
      </x:c>
      <x:c r="S50" t="str">
        <x:v>Optimal Irrigation Allocation for Large-Scale Arable Farming</x:v>
      </x:c>
    </x:row>
    <x:row r="51">
      <x:c r="A51" t="str">
        <x:v>S50</x:v>
      </x:c>
      <x:c r="B51" t="str">
        <x:v>Citation search +19</x:v>
      </x:c>
      <x:c r="C51" t="n">
        <x:v>2023</x:v>
      </x:c>
      <x:c r="D51" t="str">
        <x:v>Workforce / robotics / task allocation</x:v>
      </x:c>
      <x:c r="E51" t="str">
        <x:v>Conference paper</x:v>
      </x:c>
      <x:c r="F51" t="str">
        <x:v>Single-domain</x:v>
      </x:c>
      <x:c r="G51" t="str">
        <x:v>Simulation</x:v>
      </x:c>
      <x:c r="H51" t="str">
        <x:v>Centralised</x:v>
      </x:c>
      <x:c r="I51" t="str">
        <x:v>Indirect</x:v>
      </x:c>
      <x:c r="J51" t="str">
        <x:v>Yes</x:v>
      </x:c>
      <x:c r="K51" t="str">
        <x:v>No</x:v>
      </x:c>
      <x:c r="L51" t="str">
        <x:v>NR</x:v>
      </x:c>
      <x:c r="M51" t="str">
        <x:v>Yes</x:v>
      </x:c>
      <x:c r="N51" t="n">
        <x:v>12</x:v>
      </x:c>
      <x:c r="O51" t="str">
        <x:v>SF50</x:v>
      </x:c>
      <x:c r="P51" t="str"/>
      <x:c r="Q51" t="str">
        <x:v>Agricultural multi-robot task-allocation experiments including real task-plot data from Dahewan Farm, Inner Mongolia, China, plus TSPLIB benchmarks</x:v>
      </x:c>
      <x:c r="R51" t="str">
        <x:v>2023 IEEE 98th Vehicular Technology Conference (VTC2023-Fall)</x:v>
      </x:c>
      <x:c r="S51" t="str">
        <x:v>Multi-Robot Task Allocation in Agriculture Scenarios Based on the Improved NSGA-II Algorithm</x:v>
      </x:c>
    </x:row>
    <x:row r="52">
      <x:c r="A52" t="str">
        <x:v>S51</x:v>
      </x:c>
      <x:c r="B52" t="str">
        <x:v>Citation search +19</x:v>
      </x:c>
      <x:c r="C52" t="n">
        <x:v>2021</x:v>
      </x:c>
      <x:c r="D52" t="str">
        <x:v>Livestock / integrated farming</x:v>
      </x:c>
      <x:c r="E52" t="str">
        <x:v>Journal article</x:v>
      </x:c>
      <x:c r="F52" t="str">
        <x:v>Multi-domain</x:v>
      </x:c>
      <x:c r="G52" t="str">
        <x:v>Simulation</x:v>
      </x:c>
      <x:c r="H52" t="str">
        <x:v>Decentralised</x:v>
      </x:c>
      <x:c r="I52" t="str">
        <x:v>Direct</x:v>
      </x:c>
      <x:c r="J52" t="str">
        <x:v>Yes</x:v>
      </x:c>
      <x:c r="K52" t="str">
        <x:v>No</x:v>
      </x:c>
      <x:c r="L52" t="str">
        <x:v>NR</x:v>
      </x:c>
      <x:c r="M52" t="str">
        <x:v>Yes</x:v>
      </x:c>
      <x:c r="N52" t="n">
        <x:v>14</x:v>
      </x:c>
      <x:c r="O52" t="str">
        <x:v>SF51</x:v>
      </x:c>
      <x:c r="P52" t="str"/>
      <x:c r="Q52" t="str">
        <x:v>Pays de Pouzauges, Vendée, western France; collective of five arable and two dairy-livestock farms</x:v>
      </x:c>
      <x:c r="R52" t="str">
        <x:v>Agricultural Systems</x:v>
      </x:c>
      <x:c r="S52" t="str">
        <x:v>Fostering local crop-livestock integration via legume exchanges using an innovative integrated assessment and modelling approach based on the MAELIA platform</x:v>
      </x:c>
    </x:row>
    <x:row r="53">
      <x:c r="A53" t="str">
        <x:v>S52</x:v>
      </x:c>
      <x:c r="B53" t="str">
        <x:v>Citation search +19</x:v>
      </x:c>
      <x:c r="C53" t="n">
        <x:v>2024</x:v>
      </x:c>
      <x:c r="D53" t="str">
        <x:v>Energy / WEF nexus</x:v>
      </x:c>
      <x:c r="E53" t="str">
        <x:v>Journal article</x:v>
      </x:c>
      <x:c r="F53" t="str">
        <x:v>Integrated-system</x:v>
      </x:c>
      <x:c r="G53" t="str">
        <x:v>Simulation</x:v>
      </x:c>
      <x:c r="H53" t="str">
        <x:v>Hierarchical</x:v>
      </x:c>
      <x:c r="I53" t="str">
        <x:v>Direct</x:v>
      </x:c>
      <x:c r="J53" t="str">
        <x:v>Yes</x:v>
      </x:c>
      <x:c r="K53" t="str">
        <x:v>No</x:v>
      </x:c>
      <x:c r="L53" t="str">
        <x:v>NR</x:v>
      </x:c>
      <x:c r="M53" t="str">
        <x:v>No</x:v>
      </x:c>
      <x:c r="N53" t="n">
        <x:v>13</x:v>
      </x:c>
      <x:c r="O53" t="str">
        <x:v>SF42</x:v>
      </x:c>
      <x:c r="P53" t="str">
        <x:v>S42</x:v>
      </x:c>
      <x:c r="Q53" t="str">
        <x:v>Downstream Aveyron watershed, south-western France; approximately 800 km² and 15,024 agricultural parcels</x:v>
      </x:c>
      <x:c r="R53" t="str">
        <x:v>Computers &amp; Chemical Engineering</x:v>
      </x:c>
      <x:c r="S53" t="str">
        <x:v>Multi-actor approach to manage the water-energy-food nexus at territory scale</x:v>
      </x:c>
    </x:row>
    <x:row r="54">
      <x:c r="A54" t="str">
        <x:v>S53</x:v>
      </x:c>
      <x:c r="B54" t="str">
        <x:v>Citation search +19</x:v>
      </x:c>
      <x:c r="C54" t="n">
        <x:v>2019</x:v>
      </x:c>
      <x:c r="D54" t="str">
        <x:v>Irrigation / water management</x:v>
      </x:c>
      <x:c r="E54" t="str">
        <x:v>Conference paper</x:v>
      </x:c>
      <x:c r="F54" t="str">
        <x:v>Single-domain</x:v>
      </x:c>
      <x:c r="G54" t="str">
        <x:v>Simulation</x:v>
      </x:c>
      <x:c r="H54" t="str">
        <x:v>Centralised</x:v>
      </x:c>
      <x:c r="I54" t="str">
        <x:v>Direct</x:v>
      </x:c>
      <x:c r="J54" t="str">
        <x:v>Yes</x:v>
      </x:c>
      <x:c r="K54" t="str">
        <x:v>No</x:v>
      </x:c>
      <x:c r="L54" t="str">
        <x:v>NR</x:v>
      </x:c>
      <x:c r="M54" t="str">
        <x:v>Yes</x:v>
      </x:c>
      <x:c r="N54" t="n">
        <x:v>13</x:v>
      </x:c>
      <x:c r="O54" t="str">
        <x:v>SF49</x:v>
      </x:c>
      <x:c r="P54" t="str">
        <x:v>S49</x:v>
      </x:c>
      <x:c r="Q54" t="str">
        <x:v>Large-scale arable-farming simulation using historical weather from Eelde, the Netherlands</x:v>
      </x:c>
      <x:c r="R54" t="str">
        <x:v>IFAC-PapersOnLine</x:v>
      </x:c>
      <x:c r="S54" t="str">
        <x:v>Optimal irrigation management for large-scale arable farming using model predictive control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22" hidden="0" customWidth="1"/>
    <x:col min="4" max="4" width="36" hidden="0" customWidth="1"/>
  </x:cols>
  <x:sheetData>
    <x:row r="1">
      <x:c r="A1" s="6" t="str">
        <x:v>Study_ID</x:v>
      </x:c>
      <x:c r="B1" s="6" t="str">
        <x:v>Corpus_Group</x:v>
      </x:c>
      <x:c r="C1" s="6" t="str">
        <x:v>Dimension</x:v>
      </x:c>
      <x:c r="D1" s="6" t="str">
        <x:v>Token</x:v>
      </x:c>
    </x:row>
    <x:row r="2">
      <x:c r="A2" t="str">
        <x:v>S01</x:v>
      </x:c>
      <x:c r="B2" t="str">
        <x:v>Original 34</x:v>
      </x:c>
      <x:c r="C2" t="str">
        <x:v>Agent paradigm</x:v>
      </x:c>
      <x:c r="D2" t="str">
        <x:v>Rule-based</x:v>
      </x:c>
    </x:row>
    <x:row r="3">
      <x:c r="A3" t="str">
        <x:v>S01</x:v>
      </x:c>
      <x:c r="B3" t="str">
        <x:v>Original 34</x:v>
      </x:c>
      <x:c r="C3" t="str">
        <x:v>Interaction type</x:v>
      </x:c>
      <x:c r="D3" t="str">
        <x:v>Competition</x:v>
      </x:c>
    </x:row>
    <x:row r="4">
      <x:c r="A4" t="str">
        <x:v>S01</x:v>
      </x:c>
      <x:c r="B4" t="str">
        <x:v>Original 34</x:v>
      </x:c>
      <x:c r="C4" t="str">
        <x:v>Evaluation feature</x:v>
      </x:c>
      <x:c r="D4" t="str">
        <x:v>Simulation</x:v>
      </x:c>
    </x:row>
    <x:row r="5">
      <x:c r="A5" t="str">
        <x:v>S01</x:v>
      </x:c>
      <x:c r="B5" t="str">
        <x:v>Original 34</x:v>
      </x:c>
      <x:c r="C5" t="str">
        <x:v>Evaluation feature</x:v>
      </x:c>
      <x:c r="D5" t="str">
        <x:v>Sensitivity/uncertainty analysis</x:v>
      </x:c>
    </x:row>
    <x:row r="6">
      <x:c r="A6" t="str">
        <x:v>S01</x:v>
      </x:c>
      <x:c r="B6" t="str">
        <x:v>Original 34</x:v>
      </x:c>
      <x:c r="C6" t="str">
        <x:v>Limitation category</x:v>
      </x:c>
      <x:c r="D6" t="str">
        <x:v>Uncertainty</x:v>
      </x:c>
    </x:row>
    <x:row r="7">
      <x:c r="A7" t="str">
        <x:v>S01</x:v>
      </x:c>
      <x:c r="B7" t="str">
        <x:v>Original 34</x:v>
      </x:c>
      <x:c r="C7" t="str">
        <x:v>Limitation category</x:v>
      </x:c>
      <x:c r="D7" t="str">
        <x:v>Real-world validation</x:v>
      </x:c>
    </x:row>
    <x:row r="8">
      <x:c r="A8" t="str">
        <x:v>S02</x:v>
      </x:c>
      <x:c r="B8" t="str">
        <x:v>Original 34</x:v>
      </x:c>
      <x:c r="C8" t="str">
        <x:v>Agent paradigm</x:v>
      </x:c>
      <x:c r="D8" t="str">
        <x:v>Utility-based</x:v>
      </x:c>
    </x:row>
    <x:row r="9">
      <x:c r="A9" t="str">
        <x:v>S02</x:v>
      </x:c>
      <x:c r="B9" t="str">
        <x:v>Original 34</x:v>
      </x:c>
      <x:c r="C9" t="str">
        <x:v>Agent paradigm</x:v>
      </x:c>
      <x:c r="D9" t="str">
        <x:v>Rule-based</x:v>
      </x:c>
    </x:row>
    <x:row r="10">
      <x:c r="A10" t="str">
        <x:v>S02</x:v>
      </x:c>
      <x:c r="B10" t="str">
        <x:v>Original 34</x:v>
      </x:c>
      <x:c r="C10" t="str">
        <x:v>Interaction type</x:v>
      </x:c>
      <x:c r="D10" t="str">
        <x:v>Communication</x:v>
      </x:c>
    </x:row>
    <x:row r="11">
      <x:c r="A11" t="str">
        <x:v>S02</x:v>
      </x:c>
      <x:c r="B11" t="str">
        <x:v>Original 34</x:v>
      </x:c>
      <x:c r="C11" t="str">
        <x:v>Interaction type</x:v>
      </x:c>
      <x:c r="D11" t="str">
        <x:v>Cooperation</x:v>
      </x:c>
    </x:row>
    <x:row r="12">
      <x:c r="A12" t="str">
        <x:v>S02</x:v>
      </x:c>
      <x:c r="B12" t="str">
        <x:v>Original 34</x:v>
      </x:c>
      <x:c r="C12" t="str">
        <x:v>Interaction type</x:v>
      </x:c>
      <x:c r="D12" t="str">
        <x:v>Coordination</x:v>
      </x:c>
    </x:row>
    <x:row r="13">
      <x:c r="A13" t="str">
        <x:v>S02</x:v>
      </x:c>
      <x:c r="B13" t="str">
        <x:v>Original 34</x:v>
      </x:c>
      <x:c r="C13" t="str">
        <x:v>Interaction type</x:v>
      </x:c>
      <x:c r="D13" t="str">
        <x:v>Negotiation</x:v>
      </x:c>
    </x:row>
    <x:row r="14">
      <x:c r="A14" t="str">
        <x:v>S02</x:v>
      </x:c>
      <x:c r="B14" t="str">
        <x:v>Original 34</x:v>
      </x:c>
      <x:c r="C14" t="str">
        <x:v>Interaction type</x:v>
      </x:c>
      <x:c r="D14" t="str">
        <x:v>Competition</x:v>
      </x:c>
    </x:row>
    <x:row r="15">
      <x:c r="A15" t="str">
        <x:v>S02</x:v>
      </x:c>
      <x:c r="B15" t="str">
        <x:v>Original 34</x:v>
      </x:c>
      <x:c r="C15" t="str">
        <x:v>Interaction type</x:v>
      </x:c>
      <x:c r="D15" t="str">
        <x:v>Task allocation</x:v>
      </x:c>
    </x:row>
    <x:row r="16">
      <x:c r="A16" t="str">
        <x:v>S02</x:v>
      </x:c>
      <x:c r="B16" t="str">
        <x:v>Original 34</x:v>
      </x:c>
      <x:c r="C16" t="str">
        <x:v>Evaluation feature</x:v>
      </x:c>
      <x:c r="D16" t="str">
        <x:v>Case study</x:v>
      </x:c>
    </x:row>
    <x:row r="17">
      <x:c r="A17" t="str">
        <x:v>S02</x:v>
      </x:c>
      <x:c r="B17" t="str">
        <x:v>Original 34</x:v>
      </x:c>
      <x:c r="C17" t="str">
        <x:v>Evaluation feature</x:v>
      </x:c>
      <x:c r="D17" t="str">
        <x:v>Field evaluation/pilot</x:v>
      </x:c>
    </x:row>
    <x:row r="18">
      <x:c r="A18" t="str">
        <x:v>S02</x:v>
      </x:c>
      <x:c r="B18" t="str">
        <x:v>Original 34</x:v>
      </x:c>
      <x:c r="C18" t="str">
        <x:v>Limitation category</x:v>
      </x:c>
      <x:c r="D18" t="str">
        <x:v>Reproducibility/data availability</x:v>
      </x:c>
    </x:row>
    <x:row r="19">
      <x:c r="A19" t="str">
        <x:v>S03</x:v>
      </x:c>
      <x:c r="B19" t="str">
        <x:v>Original 34</x:v>
      </x:c>
      <x:c r="C19" t="str">
        <x:v>Agent paradigm</x:v>
      </x:c>
      <x:c r="D19" t="str">
        <x:v>Utility-based</x:v>
      </x:c>
    </x:row>
    <x:row r="20">
      <x:c r="A20" t="str">
        <x:v>S03</x:v>
      </x:c>
      <x:c r="B20" t="str">
        <x:v>Original 34</x:v>
      </x:c>
      <x:c r="C20" t="str">
        <x:v>Agent paradigm</x:v>
      </x:c>
      <x:c r="D20" t="str">
        <x:v>Rule-based</x:v>
      </x:c>
    </x:row>
    <x:row r="21">
      <x:c r="A21" t="str">
        <x:v>S03</x:v>
      </x:c>
      <x:c r="B21" t="str">
        <x:v>Original 34</x:v>
      </x:c>
      <x:c r="C21" t="str">
        <x:v>Interaction type</x:v>
      </x:c>
      <x:c r="D21" t="str">
        <x:v>Information sharing</x:v>
      </x:c>
    </x:row>
    <x:row r="22">
      <x:c r="A22" t="str">
        <x:v>S03</x:v>
      </x:c>
      <x:c r="B22" t="str">
        <x:v>Original 34</x:v>
      </x:c>
      <x:c r="C22" t="str">
        <x:v>Interaction type</x:v>
      </x:c>
      <x:c r="D22" t="str">
        <x:v>Coordination</x:v>
      </x:c>
    </x:row>
    <x:row r="23">
      <x:c r="A23" t="str">
        <x:v>S03</x:v>
      </x:c>
      <x:c r="B23" t="str">
        <x:v>Original 34</x:v>
      </x:c>
      <x:c r="C23" t="str">
        <x:v>Evaluation feature</x:v>
      </x:c>
      <x:c r="D23" t="str">
        <x:v>Simulation</x:v>
      </x:c>
    </x:row>
    <x:row r="24">
      <x:c r="A24" t="str">
        <x:v>S03</x:v>
      </x:c>
      <x:c r="B24" t="str">
        <x:v>Original 34</x:v>
      </x:c>
      <x:c r="C24" t="str">
        <x:v>Evaluation feature</x:v>
      </x:c>
      <x:c r="D24" t="str">
        <x:v>Case study</x:v>
      </x:c>
    </x:row>
    <x:row r="25">
      <x:c r="A25" t="str">
        <x:v>S03</x:v>
      </x:c>
      <x:c r="B25" t="str">
        <x:v>Original 34</x:v>
      </x:c>
      <x:c r="C25" t="str">
        <x:v>Evaluation feature</x:v>
      </x:c>
      <x:c r="D25" t="str">
        <x:v>Sensitivity/uncertainty analysis</x:v>
      </x:c>
    </x:row>
    <x:row r="26">
      <x:c r="A26" t="str">
        <x:v>S03</x:v>
      </x:c>
      <x:c r="B26" t="str">
        <x:v>Original 34</x:v>
      </x:c>
      <x:c r="C26" t="str">
        <x:v>Evaluation feature</x:v>
      </x:c>
      <x:c r="D26" t="str">
        <x:v>Calibration/validation</x:v>
      </x:c>
    </x:row>
    <x:row r="27">
      <x:c r="A27" t="str">
        <x:v>S03</x:v>
      </x:c>
      <x:c r="B27" t="str">
        <x:v>Original 34</x:v>
      </x:c>
      <x:c r="C27" t="str">
        <x:v>Limitation category</x:v>
      </x:c>
      <x:c r="D27" t="str">
        <x:v>Uncertainty</x:v>
      </x:c>
    </x:row>
    <x:row r="28">
      <x:c r="A28" t="str">
        <x:v>S03</x:v>
      </x:c>
      <x:c r="B28" t="str">
        <x:v>Original 34</x:v>
      </x:c>
      <x:c r="C28" t="str">
        <x:v>Limitation category</x:v>
      </x:c>
      <x:c r="D28" t="str">
        <x:v>Reproducibility/data availability</x:v>
      </x:c>
    </x:row>
    <x:row r="29">
      <x:c r="A29" t="str">
        <x:v>S03</x:v>
      </x:c>
      <x:c r="B29" t="str">
        <x:v>Original 34</x:v>
      </x:c>
      <x:c r="C29" t="str">
        <x:v>Limitation category</x:v>
      </x:c>
      <x:c r="D29" t="str">
        <x:v>Real-world validation</x:v>
      </x:c>
    </x:row>
    <x:row r="30">
      <x:c r="A30" t="str">
        <x:v>S04</x:v>
      </x:c>
      <x:c r="B30" t="str">
        <x:v>Original 34</x:v>
      </x:c>
      <x:c r="C30" t="str">
        <x:v>Agent paradigm</x:v>
      </x:c>
      <x:c r="D30" t="str">
        <x:v>LLM-based</x:v>
      </x:c>
    </x:row>
    <x:row r="31">
      <x:c r="A31" t="str">
        <x:v>S04</x:v>
      </x:c>
      <x:c r="B31" t="str">
        <x:v>Original 34</x:v>
      </x:c>
      <x:c r="C31" t="str">
        <x:v>Interaction type</x:v>
      </x:c>
      <x:c r="D31" t="str">
        <x:v>Communication</x:v>
      </x:c>
    </x:row>
    <x:row r="32">
      <x:c r="A32" t="str">
        <x:v>S04</x:v>
      </x:c>
      <x:c r="B32" t="str">
        <x:v>Original 34</x:v>
      </x:c>
      <x:c r="C32" t="str">
        <x:v>Interaction type</x:v>
      </x:c>
      <x:c r="D32" t="str">
        <x:v>Information sharing</x:v>
      </x:c>
    </x:row>
    <x:row r="33">
      <x:c r="A33" t="str">
        <x:v>S04</x:v>
      </x:c>
      <x:c r="B33" t="str">
        <x:v>Original 34</x:v>
      </x:c>
      <x:c r="C33" t="str">
        <x:v>Interaction type</x:v>
      </x:c>
      <x:c r="D33" t="str">
        <x:v>Cooperation</x:v>
      </x:c>
    </x:row>
    <x:row r="34">
      <x:c r="A34" t="str">
        <x:v>S04</x:v>
      </x:c>
      <x:c r="B34" t="str">
        <x:v>Original 34</x:v>
      </x:c>
      <x:c r="C34" t="str">
        <x:v>Interaction type</x:v>
      </x:c>
      <x:c r="D34" t="str">
        <x:v>Coordination</x:v>
      </x:c>
    </x:row>
    <x:row r="35">
      <x:c r="A35" t="str">
        <x:v>S04</x:v>
      </x:c>
      <x:c r="B35" t="str">
        <x:v>Original 34</x:v>
      </x:c>
      <x:c r="C35" t="str">
        <x:v>Interaction type</x:v>
      </x:c>
      <x:c r="D35" t="str">
        <x:v>Task allocation</x:v>
      </x:c>
    </x:row>
    <x:row r="36">
      <x:c r="A36" t="str">
        <x:v>S04</x:v>
      </x:c>
      <x:c r="B36" t="str">
        <x:v>Original 34</x:v>
      </x:c>
      <x:c r="C36" t="str">
        <x:v>Evaluation feature</x:v>
      </x:c>
      <x:c r="D36" t="str">
        <x:v>Simulation</x:v>
      </x:c>
    </x:row>
    <x:row r="37">
      <x:c r="A37" t="str">
        <x:v>S04</x:v>
      </x:c>
      <x:c r="B37" t="str">
        <x:v>Original 34</x:v>
      </x:c>
      <x:c r="C37" t="str">
        <x:v>Evaluation feature</x:v>
      </x:c>
      <x:c r="D37" t="str">
        <x:v>Case study</x:v>
      </x:c>
    </x:row>
    <x:row r="38">
      <x:c r="A38" t="str">
        <x:v>S04</x:v>
      </x:c>
      <x:c r="B38" t="str">
        <x:v>Original 34</x:v>
      </x:c>
      <x:c r="C38" t="str">
        <x:v>Limitation category</x:v>
      </x:c>
      <x:c r="D38" t="str">
        <x:v>Scalability</x:v>
      </x:c>
    </x:row>
    <x:row r="39">
      <x:c r="A39" t="str">
        <x:v>S04</x:v>
      </x:c>
      <x:c r="B39" t="str">
        <x:v>Original 34</x:v>
      </x:c>
      <x:c r="C39" t="str">
        <x:v>Limitation category</x:v>
      </x:c>
      <x:c r="D39" t="str">
        <x:v>Uncertainty</x:v>
      </x:c>
    </x:row>
    <x:row r="40">
      <x:c r="A40" t="str">
        <x:v>S04</x:v>
      </x:c>
      <x:c r="B40" t="str">
        <x:v>Original 34</x:v>
      </x:c>
      <x:c r="C40" t="str">
        <x:v>Limitation category</x:v>
      </x:c>
      <x:c r="D40" t="str">
        <x:v>Explainability</x:v>
      </x:c>
    </x:row>
    <x:row r="41">
      <x:c r="A41" t="str">
        <x:v>S04</x:v>
      </x:c>
      <x:c r="B41" t="str">
        <x:v>Original 34</x:v>
      </x:c>
      <x:c r="C41" t="str">
        <x:v>Limitation category</x:v>
      </x:c>
      <x:c r="D41" t="str">
        <x:v>Computational requirements</x:v>
      </x:c>
    </x:row>
    <x:row r="42">
      <x:c r="A42" t="str">
        <x:v>S04</x:v>
      </x:c>
      <x:c r="B42" t="str">
        <x:v>Original 34</x:v>
      </x:c>
      <x:c r="C42" t="str">
        <x:v>Limitation category</x:v>
      </x:c>
      <x:c r="D42" t="str">
        <x:v>Real-world validation</x:v>
      </x:c>
    </x:row>
    <x:row r="43">
      <x:c r="A43" t="str">
        <x:v>S05</x:v>
      </x:c>
      <x:c r="B43" t="str">
        <x:v>Original 34</x:v>
      </x:c>
      <x:c r="C43" t="str">
        <x:v>Agent paradigm</x:v>
      </x:c>
      <x:c r="D43" t="str">
        <x:v>Rule-based</x:v>
      </x:c>
    </x:row>
    <x:row r="44">
      <x:c r="A44" t="str">
        <x:v>S05</x:v>
      </x:c>
      <x:c r="B44" t="str">
        <x:v>Original 34</x:v>
      </x:c>
      <x:c r="C44" t="str">
        <x:v>Interaction type</x:v>
      </x:c>
      <x:c r="D44" t="str">
        <x:v>Communication</x:v>
      </x:c>
    </x:row>
    <x:row r="45">
      <x:c r="A45" t="str">
        <x:v>S05</x:v>
      </x:c>
      <x:c r="B45" t="str">
        <x:v>Original 34</x:v>
      </x:c>
      <x:c r="C45" t="str">
        <x:v>Interaction type</x:v>
      </x:c>
      <x:c r="D45" t="str">
        <x:v>Coordination</x:v>
      </x:c>
    </x:row>
    <x:row r="46">
      <x:c r="A46" t="str">
        <x:v>S05</x:v>
      </x:c>
      <x:c r="B46" t="str">
        <x:v>Original 34</x:v>
      </x:c>
      <x:c r="C46" t="str">
        <x:v>Interaction type</x:v>
      </x:c>
      <x:c r="D46" t="str">
        <x:v>Negotiation</x:v>
      </x:c>
    </x:row>
    <x:row r="47">
      <x:c r="A47" t="str">
        <x:v>S05</x:v>
      </x:c>
      <x:c r="B47" t="str">
        <x:v>Original 34</x:v>
      </x:c>
      <x:c r="C47" t="str">
        <x:v>Interaction type</x:v>
      </x:c>
      <x:c r="D47" t="str">
        <x:v>Competition</x:v>
      </x:c>
    </x:row>
    <x:row r="48">
      <x:c r="A48" t="str">
        <x:v>S05</x:v>
      </x:c>
      <x:c r="B48" t="str">
        <x:v>Original 34</x:v>
      </x:c>
      <x:c r="C48" t="str">
        <x:v>Evaluation feature</x:v>
      </x:c>
      <x:c r="D48" t="str">
        <x:v>Simulation</x:v>
      </x:c>
    </x:row>
    <x:row r="49">
      <x:c r="A49" t="str">
        <x:v>S05</x:v>
      </x:c>
      <x:c r="B49" t="str">
        <x:v>Original 34</x:v>
      </x:c>
      <x:c r="C49" t="str">
        <x:v>Evaluation feature</x:v>
      </x:c>
      <x:c r="D49" t="str">
        <x:v>Case study</x:v>
      </x:c>
    </x:row>
    <x:row r="50">
      <x:c r="A50" t="str">
        <x:v>S05</x:v>
      </x:c>
      <x:c r="B50" t="str">
        <x:v>Original 34</x:v>
      </x:c>
      <x:c r="C50" t="str">
        <x:v>Evaluation feature</x:v>
      </x:c>
      <x:c r="D50" t="str">
        <x:v>Comparative evaluation/experiment</x:v>
      </x:c>
    </x:row>
    <x:row r="51">
      <x:c r="A51" t="str">
        <x:v>S05</x:v>
      </x:c>
      <x:c r="B51" t="str">
        <x:v>Original 34</x:v>
      </x:c>
      <x:c r="C51" t="str">
        <x:v>Limitation category</x:v>
      </x:c>
      <x:c r="D51" t="str">
        <x:v>Scalability</x:v>
      </x:c>
    </x:row>
    <x:row r="52">
      <x:c r="A52" t="str">
        <x:v>S05</x:v>
      </x:c>
      <x:c r="B52" t="str">
        <x:v>Original 34</x:v>
      </x:c>
      <x:c r="C52" t="str">
        <x:v>Limitation category</x:v>
      </x:c>
      <x:c r="D52" t="str">
        <x:v>Uncertainty</x:v>
      </x:c>
    </x:row>
    <x:row r="53">
      <x:c r="A53" t="str">
        <x:v>S05</x:v>
      </x:c>
      <x:c r="B53" t="str">
        <x:v>Original 34</x:v>
      </x:c>
      <x:c r="C53" t="str">
        <x:v>Limitation category</x:v>
      </x:c>
      <x:c r="D53" t="str">
        <x:v>Real-world validation</x:v>
      </x:c>
    </x:row>
    <x:row r="54">
      <x:c r="A54" t="str">
        <x:v>S05</x:v>
      </x:c>
      <x:c r="B54" t="str">
        <x:v>Original 34</x:v>
      </x:c>
      <x:c r="C54" t="str">
        <x:v>Limitation category</x:v>
      </x:c>
      <x:c r="D54" t="str">
        <x:v>Computational requirements</x:v>
      </x:c>
    </x:row>
    <x:row r="55">
      <x:c r="A55" t="str">
        <x:v>S06</x:v>
      </x:c>
      <x:c r="B55" t="str">
        <x:v>Original 34</x:v>
      </x:c>
      <x:c r="C55" t="str">
        <x:v>Agent paradigm</x:v>
      </x:c>
      <x:c r="D55" t="str">
        <x:v>Utility-based</x:v>
      </x:c>
    </x:row>
    <x:row r="56">
      <x:c r="A56" t="str">
        <x:v>S06</x:v>
      </x:c>
      <x:c r="B56" t="str">
        <x:v>Original 34</x:v>
      </x:c>
      <x:c r="C56" t="str">
        <x:v>Agent paradigm</x:v>
      </x:c>
      <x:c r="D56" t="str">
        <x:v>Rule-based</x:v>
      </x:c>
    </x:row>
    <x:row r="57">
      <x:c r="A57" t="str">
        <x:v>S06</x:v>
      </x:c>
      <x:c r="B57" t="str">
        <x:v>Original 34</x:v>
      </x:c>
      <x:c r="C57" t="str">
        <x:v>Interaction type</x:v>
      </x:c>
      <x:c r="D57" t="str">
        <x:v>Communication</x:v>
      </x:c>
    </x:row>
    <x:row r="58">
      <x:c r="A58" t="str">
        <x:v>S06</x:v>
      </x:c>
      <x:c r="B58" t="str">
        <x:v>Original 34</x:v>
      </x:c>
      <x:c r="C58" t="str">
        <x:v>Interaction type</x:v>
      </x:c>
      <x:c r="D58" t="str">
        <x:v>Cooperation</x:v>
      </x:c>
    </x:row>
    <x:row r="59">
      <x:c r="A59" t="str">
        <x:v>S06</x:v>
      </x:c>
      <x:c r="B59" t="str">
        <x:v>Original 34</x:v>
      </x:c>
      <x:c r="C59" t="str">
        <x:v>Interaction type</x:v>
      </x:c>
      <x:c r="D59" t="str">
        <x:v>Coordination</x:v>
      </x:c>
    </x:row>
    <x:row r="60">
      <x:c r="A60" t="str">
        <x:v>S06</x:v>
      </x:c>
      <x:c r="B60" t="str">
        <x:v>Original 34</x:v>
      </x:c>
      <x:c r="C60" t="str">
        <x:v>Interaction type</x:v>
      </x:c>
      <x:c r="D60" t="str">
        <x:v>Negotiation</x:v>
      </x:c>
    </x:row>
    <x:row r="61">
      <x:c r="A61" t="str">
        <x:v>S06</x:v>
      </x:c>
      <x:c r="B61" t="str">
        <x:v>Original 34</x:v>
      </x:c>
      <x:c r="C61" t="str">
        <x:v>Evaluation feature</x:v>
      </x:c>
      <x:c r="D61" t="str">
        <x:v>Simulation</x:v>
      </x:c>
    </x:row>
    <x:row r="62">
      <x:c r="A62" t="str">
        <x:v>S06</x:v>
      </x:c>
      <x:c r="B62" t="str">
        <x:v>Original 34</x:v>
      </x:c>
      <x:c r="C62" t="str">
        <x:v>Evaluation feature</x:v>
      </x:c>
      <x:c r="D62" t="str">
        <x:v>Field evaluation/pilot</x:v>
      </x:c>
    </x:row>
    <x:row r="63">
      <x:c r="A63" t="str">
        <x:v>S06</x:v>
      </x:c>
      <x:c r="B63" t="str">
        <x:v>Original 34</x:v>
      </x:c>
      <x:c r="C63" t="str">
        <x:v>Limitation category</x:v>
      </x:c>
      <x:c r="D63" t="str">
        <x:v>Environmental modelling</x:v>
      </x:c>
    </x:row>
    <x:row r="64">
      <x:c r="A64" t="str">
        <x:v>S06</x:v>
      </x:c>
      <x:c r="B64" t="str">
        <x:v>Original 34</x:v>
      </x:c>
      <x:c r="C64" t="str">
        <x:v>Limitation category</x:v>
      </x:c>
      <x:c r="D64" t="str">
        <x:v>Real-world validation</x:v>
      </x:c>
    </x:row>
    <x:row r="65">
      <x:c r="A65" t="str">
        <x:v>S07</x:v>
      </x:c>
      <x:c r="B65" t="str">
        <x:v>Original 34</x:v>
      </x:c>
      <x:c r="C65" t="str">
        <x:v>Agent paradigm</x:v>
      </x:c>
      <x:c r="D65" t="str">
        <x:v>Learning-based</x:v>
      </x:c>
    </x:row>
    <x:row r="66">
      <x:c r="A66" t="str">
        <x:v>S07</x:v>
      </x:c>
      <x:c r="B66" t="str">
        <x:v>Original 34</x:v>
      </x:c>
      <x:c r="C66" t="str">
        <x:v>Interaction type</x:v>
      </x:c>
      <x:c r="D66" t="str">
        <x:v>Coordination</x:v>
      </x:c>
    </x:row>
    <x:row r="67">
      <x:c r="A67" t="str">
        <x:v>S07</x:v>
      </x:c>
      <x:c r="B67" t="str">
        <x:v>Original 34</x:v>
      </x:c>
      <x:c r="C67" t="str">
        <x:v>Interaction type</x:v>
      </x:c>
      <x:c r="D67" t="str">
        <x:v>Task allocation</x:v>
      </x:c>
    </x:row>
    <x:row r="68">
      <x:c r="A68" t="str">
        <x:v>S07</x:v>
      </x:c>
      <x:c r="B68" t="str">
        <x:v>Original 34</x:v>
      </x:c>
      <x:c r="C68" t="str">
        <x:v>Evaluation feature</x:v>
      </x:c>
      <x:c r="D68" t="str">
        <x:v>Simulation</x:v>
      </x:c>
    </x:row>
    <x:row r="69">
      <x:c r="A69" t="str">
        <x:v>S07</x:v>
      </x:c>
      <x:c r="B69" t="str">
        <x:v>Original 34</x:v>
      </x:c>
      <x:c r="C69" t="str">
        <x:v>Evaluation feature</x:v>
      </x:c>
      <x:c r="D69" t="str">
        <x:v>Case study</x:v>
      </x:c>
    </x:row>
    <x:row r="70">
      <x:c r="A70" t="str">
        <x:v>S07</x:v>
      </x:c>
      <x:c r="B70" t="str">
        <x:v>Original 34</x:v>
      </x:c>
      <x:c r="C70" t="str">
        <x:v>Limitation category</x:v>
      </x:c>
      <x:c r="D70" t="str">
        <x:v>Computational requirements</x:v>
      </x:c>
    </x:row>
    <x:row r="71">
      <x:c r="A71" t="str">
        <x:v>S07</x:v>
      </x:c>
      <x:c r="B71" t="str">
        <x:v>Original 34</x:v>
      </x:c>
      <x:c r="C71" t="str">
        <x:v>Limitation category</x:v>
      </x:c>
      <x:c r="D71" t="str">
        <x:v>Scalability</x:v>
      </x:c>
    </x:row>
    <x:row r="72">
      <x:c r="A72" t="str">
        <x:v>S07</x:v>
      </x:c>
      <x:c r="B72" t="str">
        <x:v>Original 34</x:v>
      </x:c>
      <x:c r="C72" t="str">
        <x:v>Limitation category</x:v>
      </x:c>
      <x:c r="D72" t="str">
        <x:v>Uncertainty</x:v>
      </x:c>
    </x:row>
    <x:row r="73">
      <x:c r="A73" t="str">
        <x:v>S07</x:v>
      </x:c>
      <x:c r="B73" t="str">
        <x:v>Original 34</x:v>
      </x:c>
      <x:c r="C73" t="str">
        <x:v>Limitation category</x:v>
      </x:c>
      <x:c r="D73" t="str">
        <x:v>Real-world validation</x:v>
      </x:c>
    </x:row>
    <x:row r="74">
      <x:c r="A74" t="str">
        <x:v>S08</x:v>
      </x:c>
      <x:c r="B74" t="str">
        <x:v>Original 34</x:v>
      </x:c>
      <x:c r="C74" t="str">
        <x:v>Agent paradigm</x:v>
      </x:c>
      <x:c r="D74" t="str">
        <x:v>Learning-based</x:v>
      </x:c>
    </x:row>
    <x:row r="75">
      <x:c r="A75" t="str">
        <x:v>S08</x:v>
      </x:c>
      <x:c r="B75" t="str">
        <x:v>Original 34</x:v>
      </x:c>
      <x:c r="C75" t="str">
        <x:v>Interaction type</x:v>
      </x:c>
      <x:c r="D75" t="str">
        <x:v>Communication</x:v>
      </x:c>
    </x:row>
    <x:row r="76">
      <x:c r="A76" t="str">
        <x:v>S08</x:v>
      </x:c>
      <x:c r="B76" t="str">
        <x:v>Original 34</x:v>
      </x:c>
      <x:c r="C76" t="str">
        <x:v>Interaction type</x:v>
      </x:c>
      <x:c r="D76" t="str">
        <x:v>Information sharing</x:v>
      </x:c>
    </x:row>
    <x:row r="77">
      <x:c r="A77" t="str">
        <x:v>S08</x:v>
      </x:c>
      <x:c r="B77" t="str">
        <x:v>Original 34</x:v>
      </x:c>
      <x:c r="C77" t="str">
        <x:v>Interaction type</x:v>
      </x:c>
      <x:c r="D77" t="str">
        <x:v>Coordination</x:v>
      </x:c>
    </x:row>
    <x:row r="78">
      <x:c r="A78" t="str">
        <x:v>S08</x:v>
      </x:c>
      <x:c r="B78" t="str">
        <x:v>Original 34</x:v>
      </x:c>
      <x:c r="C78" t="str">
        <x:v>Interaction type</x:v>
      </x:c>
      <x:c r="D78" t="str">
        <x:v>Cooperation</x:v>
      </x:c>
    </x:row>
    <x:row r="79">
      <x:c r="A79" t="str">
        <x:v>S08</x:v>
      </x:c>
      <x:c r="B79" t="str">
        <x:v>Original 34</x:v>
      </x:c>
      <x:c r="C79" t="str">
        <x:v>Evaluation feature</x:v>
      </x:c>
      <x:c r="D79" t="str">
        <x:v>Simulation</x:v>
      </x:c>
    </x:row>
    <x:row r="80">
      <x:c r="A80" t="str">
        <x:v>S08</x:v>
      </x:c>
      <x:c r="B80" t="str">
        <x:v>Original 34</x:v>
      </x:c>
      <x:c r="C80" t="str">
        <x:v>Evaluation feature</x:v>
      </x:c>
      <x:c r="D80" t="str">
        <x:v>Case study</x:v>
      </x:c>
    </x:row>
    <x:row r="81">
      <x:c r="A81" t="str">
        <x:v>S08</x:v>
      </x:c>
      <x:c r="B81" t="str">
        <x:v>Original 34</x:v>
      </x:c>
      <x:c r="C81" t="str">
        <x:v>Limitation category</x:v>
      </x:c>
      <x:c r="D81" t="str">
        <x:v>Computational requirements</x:v>
      </x:c>
    </x:row>
    <x:row r="82">
      <x:c r="A82" t="str">
        <x:v>S08</x:v>
      </x:c>
      <x:c r="B82" t="str">
        <x:v>Original 34</x:v>
      </x:c>
      <x:c r="C82" t="str">
        <x:v>Limitation category</x:v>
      </x:c>
      <x:c r="D82" t="str">
        <x:v>Scalability</x:v>
      </x:c>
    </x:row>
    <x:row r="83">
      <x:c r="A83" t="str">
        <x:v>S08</x:v>
      </x:c>
      <x:c r="B83" t="str">
        <x:v>Original 34</x:v>
      </x:c>
      <x:c r="C83" t="str">
        <x:v>Limitation category</x:v>
      </x:c>
      <x:c r="D83" t="str">
        <x:v>Uncertainty</x:v>
      </x:c>
    </x:row>
    <x:row r="84">
      <x:c r="A84" t="str">
        <x:v>S08</x:v>
      </x:c>
      <x:c r="B84" t="str">
        <x:v>Original 34</x:v>
      </x:c>
      <x:c r="C84" t="str">
        <x:v>Limitation category</x:v>
      </x:c>
      <x:c r="D84" t="str">
        <x:v>Real-world validation</x:v>
      </x:c>
    </x:row>
    <x:row r="85">
      <x:c r="A85" t="str">
        <x:v>S09</x:v>
      </x:c>
      <x:c r="B85" t="str">
        <x:v>Original 34</x:v>
      </x:c>
      <x:c r="C85" t="str">
        <x:v>Agent paradigm</x:v>
      </x:c>
      <x:c r="D85" t="str">
        <x:v>Learning-based</x:v>
      </x:c>
    </x:row>
    <x:row r="86">
      <x:c r="A86" t="str">
        <x:v>S09</x:v>
      </x:c>
      <x:c r="B86" t="str">
        <x:v>Original 34</x:v>
      </x:c>
      <x:c r="C86" t="str">
        <x:v>Interaction type</x:v>
      </x:c>
      <x:c r="D86" t="str">
        <x:v>Information sharing</x:v>
      </x:c>
    </x:row>
    <x:row r="87">
      <x:c r="A87" t="str">
        <x:v>S09</x:v>
      </x:c>
      <x:c r="B87" t="str">
        <x:v>Original 34</x:v>
      </x:c>
      <x:c r="C87" t="str">
        <x:v>Interaction type</x:v>
      </x:c>
      <x:c r="D87" t="str">
        <x:v>Cooperation</x:v>
      </x:c>
    </x:row>
    <x:row r="88">
      <x:c r="A88" t="str">
        <x:v>S09</x:v>
      </x:c>
      <x:c r="B88" t="str">
        <x:v>Original 34</x:v>
      </x:c>
      <x:c r="C88" t="str">
        <x:v>Interaction type</x:v>
      </x:c>
      <x:c r="D88" t="str">
        <x:v>Coordination</x:v>
      </x:c>
    </x:row>
    <x:row r="89">
      <x:c r="A89" t="str">
        <x:v>S09</x:v>
      </x:c>
      <x:c r="B89" t="str">
        <x:v>Original 34</x:v>
      </x:c>
      <x:c r="C89" t="str">
        <x:v>Evaluation feature</x:v>
      </x:c>
      <x:c r="D89" t="str">
        <x:v>Simulation</x:v>
      </x:c>
    </x:row>
    <x:row r="90">
      <x:c r="A90" t="str">
        <x:v>S09</x:v>
      </x:c>
      <x:c r="B90" t="str">
        <x:v>Original 34</x:v>
      </x:c>
      <x:c r="C90" t="str">
        <x:v>Evaluation feature</x:v>
      </x:c>
      <x:c r="D90" t="str">
        <x:v>Case study</x:v>
      </x:c>
    </x:row>
    <x:row r="91">
      <x:c r="A91" t="str">
        <x:v>S09</x:v>
      </x:c>
      <x:c r="B91" t="str">
        <x:v>Original 34</x:v>
      </x:c>
      <x:c r="C91" t="str">
        <x:v>Limitation category</x:v>
      </x:c>
      <x:c r="D91" t="str">
        <x:v>Real-world validation</x:v>
      </x:c>
    </x:row>
    <x:row r="92">
      <x:c r="A92" t="str">
        <x:v>S09</x:v>
      </x:c>
      <x:c r="B92" t="str">
        <x:v>Original 34</x:v>
      </x:c>
      <x:c r="C92" t="str">
        <x:v>Limitation category</x:v>
      </x:c>
      <x:c r="D92" t="str">
        <x:v>Computational requirements</x:v>
      </x:c>
    </x:row>
    <x:row r="93">
      <x:c r="A93" t="str">
        <x:v>S10</x:v>
      </x:c>
      <x:c r="B93" t="str">
        <x:v>Original 34</x:v>
      </x:c>
      <x:c r="C93" t="str">
        <x:v>Agent paradigm</x:v>
      </x:c>
      <x:c r="D93" t="str">
        <x:v>Rule-based</x:v>
      </x:c>
    </x:row>
    <x:row r="94">
      <x:c r="A94" t="str">
        <x:v>S10</x:v>
      </x:c>
      <x:c r="B94" t="str">
        <x:v>Original 34</x:v>
      </x:c>
      <x:c r="C94" t="str">
        <x:v>Interaction type</x:v>
      </x:c>
      <x:c r="D94" t="str">
        <x:v>Coordination</x:v>
      </x:c>
    </x:row>
    <x:row r="95">
      <x:c r="A95" t="str">
        <x:v>S10</x:v>
      </x:c>
      <x:c r="B95" t="str">
        <x:v>Original 34</x:v>
      </x:c>
      <x:c r="C95" t="str">
        <x:v>Interaction type</x:v>
      </x:c>
      <x:c r="D95" t="str">
        <x:v>Environment-mediated interaction</x:v>
      </x:c>
    </x:row>
    <x:row r="96">
      <x:c r="A96" t="str">
        <x:v>S10</x:v>
      </x:c>
      <x:c r="B96" t="str">
        <x:v>Original 34</x:v>
      </x:c>
      <x:c r="C96" t="str">
        <x:v>Evaluation feature</x:v>
      </x:c>
      <x:c r="D96" t="str">
        <x:v>Simulation</x:v>
      </x:c>
    </x:row>
    <x:row r="97">
      <x:c r="A97" t="str">
        <x:v>S10</x:v>
      </x:c>
      <x:c r="B97" t="str">
        <x:v>Original 34</x:v>
      </x:c>
      <x:c r="C97" t="str">
        <x:v>Limitation category</x:v>
      </x:c>
      <x:c r="D97" t="str">
        <x:v>Real-world validation</x:v>
      </x:c>
    </x:row>
    <x:row r="98">
      <x:c r="A98" t="str">
        <x:v>S10</x:v>
      </x:c>
      <x:c r="B98" t="str">
        <x:v>Original 34</x:v>
      </x:c>
      <x:c r="C98" t="str">
        <x:v>Limitation category</x:v>
      </x:c>
      <x:c r="D98" t="str">
        <x:v>Scalability</x:v>
      </x:c>
    </x:row>
    <x:row r="99">
      <x:c r="A99" t="str">
        <x:v>S10</x:v>
      </x:c>
      <x:c r="B99" t="str">
        <x:v>Original 34</x:v>
      </x:c>
      <x:c r="C99" t="str">
        <x:v>Limitation category</x:v>
      </x:c>
      <x:c r="D99" t="str">
        <x:v>Environmental modelling</x:v>
      </x:c>
    </x:row>
    <x:row r="100">
      <x:c r="A100" t="str">
        <x:v>S11</x:v>
      </x:c>
      <x:c r="B100" t="str">
        <x:v>Original 34</x:v>
      </x:c>
      <x:c r="C100" t="str">
        <x:v>Agent paradigm</x:v>
      </x:c>
      <x:c r="D100" t="str">
        <x:v>Learning-based</x:v>
      </x:c>
    </x:row>
    <x:row r="101">
      <x:c r="A101" t="str">
        <x:v>S11</x:v>
      </x:c>
      <x:c r="B101" t="str">
        <x:v>Original 34</x:v>
      </x:c>
      <x:c r="C101" t="str">
        <x:v>Interaction type</x:v>
      </x:c>
      <x:c r="D101" t="str">
        <x:v>Communication</x:v>
      </x:c>
    </x:row>
    <x:row r="102">
      <x:c r="A102" t="str">
        <x:v>S11</x:v>
      </x:c>
      <x:c r="B102" t="str">
        <x:v>Original 34</x:v>
      </x:c>
      <x:c r="C102" t="str">
        <x:v>Interaction type</x:v>
      </x:c>
      <x:c r="D102" t="str">
        <x:v>Information sharing</x:v>
      </x:c>
    </x:row>
    <x:row r="103">
      <x:c r="A103" t="str">
        <x:v>S11</x:v>
      </x:c>
      <x:c r="B103" t="str">
        <x:v>Original 34</x:v>
      </x:c>
      <x:c r="C103" t="str">
        <x:v>Interaction type</x:v>
      </x:c>
      <x:c r="D103" t="str">
        <x:v>Cooperation</x:v>
      </x:c>
    </x:row>
    <x:row r="104">
      <x:c r="A104" t="str">
        <x:v>S11</x:v>
      </x:c>
      <x:c r="B104" t="str">
        <x:v>Original 34</x:v>
      </x:c>
      <x:c r="C104" t="str">
        <x:v>Interaction type</x:v>
      </x:c>
      <x:c r="D104" t="str">
        <x:v>Coordination</x:v>
      </x:c>
    </x:row>
    <x:row r="105">
      <x:c r="A105" t="str">
        <x:v>S11</x:v>
      </x:c>
      <x:c r="B105" t="str">
        <x:v>Original 34</x:v>
      </x:c>
      <x:c r="C105" t="str">
        <x:v>Interaction type</x:v>
      </x:c>
      <x:c r="D105" t="str">
        <x:v>Negotiation</x:v>
      </x:c>
    </x:row>
    <x:row r="106">
      <x:c r="A106" t="str">
        <x:v>S11</x:v>
      </x:c>
      <x:c r="B106" t="str">
        <x:v>Original 34</x:v>
      </x:c>
      <x:c r="C106" t="str">
        <x:v>Interaction type</x:v>
      </x:c>
      <x:c r="D106" t="str">
        <x:v>Competition</x:v>
      </x:c>
    </x:row>
    <x:row r="107">
      <x:c r="A107" t="str">
        <x:v>S11</x:v>
      </x:c>
      <x:c r="B107" t="str">
        <x:v>Original 34</x:v>
      </x:c>
      <x:c r="C107" t="str">
        <x:v>Evaluation feature</x:v>
      </x:c>
      <x:c r="D107" t="str">
        <x:v>Simulation</x:v>
      </x:c>
    </x:row>
    <x:row r="108">
      <x:c r="A108" t="str">
        <x:v>S11</x:v>
      </x:c>
      <x:c r="B108" t="str">
        <x:v>Original 34</x:v>
      </x:c>
      <x:c r="C108" t="str">
        <x:v>Evaluation feature</x:v>
      </x:c>
      <x:c r="D108" t="str">
        <x:v>Case study</x:v>
      </x:c>
    </x:row>
    <x:row r="109">
      <x:c r="A109" t="str">
        <x:v>S11</x:v>
      </x:c>
      <x:c r="B109" t="str">
        <x:v>Original 34</x:v>
      </x:c>
      <x:c r="C109" t="str">
        <x:v>Limitation category</x:v>
      </x:c>
      <x:c r="D109" t="str">
        <x:v>Real-world validation</x:v>
      </x:c>
    </x:row>
    <x:row r="110">
      <x:c r="A110" t="str">
        <x:v>S11</x:v>
      </x:c>
      <x:c r="B110" t="str">
        <x:v>Original 34</x:v>
      </x:c>
      <x:c r="C110" t="str">
        <x:v>Limitation category</x:v>
      </x:c>
      <x:c r="D110" t="str">
        <x:v>Scalability</x:v>
      </x:c>
    </x:row>
    <x:row r="111">
      <x:c r="A111" t="str">
        <x:v>S11</x:v>
      </x:c>
      <x:c r="B111" t="str">
        <x:v>Original 34</x:v>
      </x:c>
      <x:c r="C111" t="str">
        <x:v>Limitation category</x:v>
      </x:c>
      <x:c r="D111" t="str">
        <x:v>Uncertainty</x:v>
      </x:c>
    </x:row>
    <x:row r="112">
      <x:c r="A112" t="str">
        <x:v>S11</x:v>
      </x:c>
      <x:c r="B112" t="str">
        <x:v>Original 34</x:v>
      </x:c>
      <x:c r="C112" t="str">
        <x:v>Limitation category</x:v>
      </x:c>
      <x:c r="D112" t="str">
        <x:v>Computational requirements</x:v>
      </x:c>
    </x:row>
    <x:row r="113">
      <x:c r="A113" t="str">
        <x:v>S11</x:v>
      </x:c>
      <x:c r="B113" t="str">
        <x:v>Original 34</x:v>
      </x:c>
      <x:c r="C113" t="str">
        <x:v>Limitation category</x:v>
      </x:c>
      <x:c r="D113" t="str">
        <x:v>Reproducibility/data availability</x:v>
      </x:c>
    </x:row>
    <x:row r="114">
      <x:c r="A114" t="str">
        <x:v>S11</x:v>
      </x:c>
      <x:c r="B114" t="str">
        <x:v>Original 34</x:v>
      </x:c>
      <x:c r="C114" t="str">
        <x:v>Limitation category</x:v>
      </x:c>
      <x:c r="D114" t="str">
        <x:v>Deployment cost</x:v>
      </x:c>
    </x:row>
    <x:row r="115">
      <x:c r="A115" t="str">
        <x:v>S11</x:v>
      </x:c>
      <x:c r="B115" t="str">
        <x:v>Original 34</x:v>
      </x:c>
      <x:c r="C115" t="str">
        <x:v>Limitation category</x:v>
      </x:c>
      <x:c r="D115" t="str">
        <x:v>Interoperability</x:v>
      </x:c>
    </x:row>
    <x:row r="116">
      <x:c r="A116" t="str">
        <x:v>S12</x:v>
      </x:c>
      <x:c r="B116" t="str">
        <x:v>Original 34</x:v>
      </x:c>
      <x:c r="C116" t="str">
        <x:v>Agent paradigm</x:v>
      </x:c>
      <x:c r="D116" t="str">
        <x:v>Rule-based</x:v>
      </x:c>
    </x:row>
    <x:row r="117">
      <x:c r="A117" t="str">
        <x:v>S12</x:v>
      </x:c>
      <x:c r="B117" t="str">
        <x:v>Original 34</x:v>
      </x:c>
      <x:c r="C117" t="str">
        <x:v>Agent paradigm</x:v>
      </x:c>
      <x:c r="D117" t="str">
        <x:v>Other behavioural</x:v>
      </x:c>
    </x:row>
    <x:row r="118">
      <x:c r="A118" t="str">
        <x:v>S12</x:v>
      </x:c>
      <x:c r="B118" t="str">
        <x:v>Original 34</x:v>
      </x:c>
      <x:c r="C118" t="str">
        <x:v>Interaction type</x:v>
      </x:c>
      <x:c r="D118" t="str">
        <x:v>Information sharing</x:v>
      </x:c>
    </x:row>
    <x:row r="119">
      <x:c r="A119" t="str">
        <x:v>S12</x:v>
      </x:c>
      <x:c r="B119" t="str">
        <x:v>Original 34</x:v>
      </x:c>
      <x:c r="C119" t="str">
        <x:v>Evaluation feature</x:v>
      </x:c>
      <x:c r="D119" t="str">
        <x:v>Simulation</x:v>
      </x:c>
    </x:row>
    <x:row r="120">
      <x:c r="A120" t="str">
        <x:v>S12</x:v>
      </x:c>
      <x:c r="B120" t="str">
        <x:v>Original 34</x:v>
      </x:c>
      <x:c r="C120" t="str">
        <x:v>Evaluation feature</x:v>
      </x:c>
      <x:c r="D120" t="str">
        <x:v>Case study</x:v>
      </x:c>
    </x:row>
    <x:row r="121">
      <x:c r="A121" t="str">
        <x:v>S12</x:v>
      </x:c>
      <x:c r="B121" t="str">
        <x:v>Original 34</x:v>
      </x:c>
      <x:c r="C121" t="str">
        <x:v>Evaluation feature</x:v>
      </x:c>
      <x:c r="D121" t="str">
        <x:v>Sensitivity/uncertainty analysis</x:v>
      </x:c>
    </x:row>
    <x:row r="122">
      <x:c r="A122" t="str">
        <x:v>S12</x:v>
      </x:c>
      <x:c r="B122" t="str">
        <x:v>Original 34</x:v>
      </x:c>
      <x:c r="C122" t="str">
        <x:v>Evaluation feature</x:v>
      </x:c>
      <x:c r="D122" t="str">
        <x:v>Calibration/validation</x:v>
      </x:c>
    </x:row>
    <x:row r="123">
      <x:c r="A123" t="str">
        <x:v>S12</x:v>
      </x:c>
      <x:c r="B123" t="str">
        <x:v>Original 34</x:v>
      </x:c>
      <x:c r="C123" t="str">
        <x:v>Limitation category</x:v>
      </x:c>
      <x:c r="D123" t="str">
        <x:v>Scalability</x:v>
      </x:c>
    </x:row>
    <x:row r="124">
      <x:c r="A124" t="str">
        <x:v>S12</x:v>
      </x:c>
      <x:c r="B124" t="str">
        <x:v>Original 34</x:v>
      </x:c>
      <x:c r="C124" t="str">
        <x:v>Limitation category</x:v>
      </x:c>
      <x:c r="D124" t="str">
        <x:v>Uncertainty</x:v>
      </x:c>
    </x:row>
    <x:row r="125">
      <x:c r="A125" t="str">
        <x:v>S12</x:v>
      </x:c>
      <x:c r="B125" t="str">
        <x:v>Original 34</x:v>
      </x:c>
      <x:c r="C125" t="str">
        <x:v>Limitation category</x:v>
      </x:c>
      <x:c r="D125" t="str">
        <x:v>Real-world validation</x:v>
      </x:c>
    </x:row>
    <x:row r="126">
      <x:c r="A126" t="str">
        <x:v>S13</x:v>
      </x:c>
      <x:c r="B126" t="str">
        <x:v>Original 34</x:v>
      </x:c>
      <x:c r="C126" t="str">
        <x:v>Agent paradigm</x:v>
      </x:c>
      <x:c r="D126" t="str">
        <x:v>BDI</x:v>
      </x:c>
    </x:row>
    <x:row r="127">
      <x:c r="A127" t="str">
        <x:v>S13</x:v>
      </x:c>
      <x:c r="B127" t="str">
        <x:v>Original 34</x:v>
      </x:c>
      <x:c r="C127" t="str">
        <x:v>Agent paradigm</x:v>
      </x:c>
      <x:c r="D127" t="str">
        <x:v>Rule-based</x:v>
      </x:c>
    </x:row>
    <x:row r="128">
      <x:c r="A128" t="str">
        <x:v>S13</x:v>
      </x:c>
      <x:c r="B128" t="str">
        <x:v>Original 34</x:v>
      </x:c>
      <x:c r="C128" t="str">
        <x:v>Interaction type</x:v>
      </x:c>
      <x:c r="D128" t="str">
        <x:v>Communication</x:v>
      </x:c>
    </x:row>
    <x:row r="129">
      <x:c r="A129" t="str">
        <x:v>S13</x:v>
      </x:c>
      <x:c r="B129" t="str">
        <x:v>Original 34</x:v>
      </x:c>
      <x:c r="C129" t="str">
        <x:v>Interaction type</x:v>
      </x:c>
      <x:c r="D129" t="str">
        <x:v>Information sharing</x:v>
      </x:c>
    </x:row>
    <x:row r="130">
      <x:c r="A130" t="str">
        <x:v>S13</x:v>
      </x:c>
      <x:c r="B130" t="str">
        <x:v>Original 34</x:v>
      </x:c>
      <x:c r="C130" t="str">
        <x:v>Interaction type</x:v>
      </x:c>
      <x:c r="D130" t="str">
        <x:v>Coordination</x:v>
      </x:c>
    </x:row>
    <x:row r="131">
      <x:c r="A131" t="str">
        <x:v>S13</x:v>
      </x:c>
      <x:c r="B131" t="str">
        <x:v>Original 34</x:v>
      </x:c>
      <x:c r="C131" t="str">
        <x:v>Evaluation feature</x:v>
      </x:c>
      <x:c r="D131" t="str">
        <x:v>Simulation</x:v>
      </x:c>
    </x:row>
    <x:row r="132">
      <x:c r="A132" t="str">
        <x:v>S13</x:v>
      </x:c>
      <x:c r="B132" t="str">
        <x:v>Original 34</x:v>
      </x:c>
      <x:c r="C132" t="str">
        <x:v>Evaluation feature</x:v>
      </x:c>
      <x:c r="D132" t="str">
        <x:v>Sensitivity/uncertainty analysis</x:v>
      </x:c>
    </x:row>
    <x:row r="133">
      <x:c r="A133" t="str">
        <x:v>S13</x:v>
      </x:c>
      <x:c r="B133" t="str">
        <x:v>Original 34</x:v>
      </x:c>
      <x:c r="C133" t="str">
        <x:v>Evaluation feature</x:v>
      </x:c>
      <x:c r="D133" t="str">
        <x:v>Calibration/validation</x:v>
      </x:c>
    </x:row>
    <x:row r="134">
      <x:c r="A134" t="str">
        <x:v>S13</x:v>
      </x:c>
      <x:c r="B134" t="str">
        <x:v>Original 34</x:v>
      </x:c>
      <x:c r="C134" t="str">
        <x:v>Limitation category</x:v>
      </x:c>
      <x:c r="D134" t="str">
        <x:v>Computational requirements</x:v>
      </x:c>
    </x:row>
    <x:row r="135">
      <x:c r="A135" t="str">
        <x:v>S13</x:v>
      </x:c>
      <x:c r="B135" t="str">
        <x:v>Original 34</x:v>
      </x:c>
      <x:c r="C135" t="str">
        <x:v>Limitation category</x:v>
      </x:c>
      <x:c r="D135" t="str">
        <x:v>Uncertainty</x:v>
      </x:c>
    </x:row>
    <x:row r="136">
      <x:c r="A136" t="str">
        <x:v>S13</x:v>
      </x:c>
      <x:c r="B136" t="str">
        <x:v>Original 34</x:v>
      </x:c>
      <x:c r="C136" t="str">
        <x:v>Limitation category</x:v>
      </x:c>
      <x:c r="D136" t="str">
        <x:v>Real-world validation</x:v>
      </x:c>
    </x:row>
    <x:row r="137">
      <x:c r="A137" t="str">
        <x:v>S14</x:v>
      </x:c>
      <x:c r="B137" t="str">
        <x:v>Original 34</x:v>
      </x:c>
      <x:c r="C137" t="str">
        <x:v>Agent paradigm</x:v>
      </x:c>
      <x:c r="D137" t="str">
        <x:v>Rule-based</x:v>
      </x:c>
    </x:row>
    <x:row r="138">
      <x:c r="A138" t="str">
        <x:v>S14</x:v>
      </x:c>
      <x:c r="B138" t="str">
        <x:v>Original 34</x:v>
      </x:c>
      <x:c r="C138" t="str">
        <x:v>Interaction type</x:v>
      </x:c>
      <x:c r="D138" t="str">
        <x:v>Cooperation</x:v>
      </x:c>
    </x:row>
    <x:row r="139">
      <x:c r="A139" t="str">
        <x:v>S14</x:v>
      </x:c>
      <x:c r="B139" t="str">
        <x:v>Original 34</x:v>
      </x:c>
      <x:c r="C139" t="str">
        <x:v>Interaction type</x:v>
      </x:c>
      <x:c r="D139" t="str">
        <x:v>Competition</x:v>
      </x:c>
    </x:row>
    <x:row r="140">
      <x:c r="A140" t="str">
        <x:v>S14</x:v>
      </x:c>
      <x:c r="B140" t="str">
        <x:v>Original 34</x:v>
      </x:c>
      <x:c r="C140" t="str">
        <x:v>Interaction type</x:v>
      </x:c>
      <x:c r="D140" t="str">
        <x:v>Coordination</x:v>
      </x:c>
    </x:row>
    <x:row r="141">
      <x:c r="A141" t="str">
        <x:v>S14</x:v>
      </x:c>
      <x:c r="B141" t="str">
        <x:v>Original 34</x:v>
      </x:c>
      <x:c r="C141" t="str">
        <x:v>Evaluation feature</x:v>
      </x:c>
      <x:c r="D141" t="str">
        <x:v>Simulation</x:v>
      </x:c>
    </x:row>
    <x:row r="142">
      <x:c r="A142" t="str">
        <x:v>S14</x:v>
      </x:c>
      <x:c r="B142" t="str">
        <x:v>Original 34</x:v>
      </x:c>
      <x:c r="C142" t="str">
        <x:v>Limitation category</x:v>
      </x:c>
      <x:c r="D142" t="str">
        <x:v>Real-world validation</x:v>
      </x:c>
    </x:row>
    <x:row r="143">
      <x:c r="A143" t="str">
        <x:v>S14</x:v>
      </x:c>
      <x:c r="B143" t="str">
        <x:v>Original 34</x:v>
      </x:c>
      <x:c r="C143" t="str">
        <x:v>Limitation category</x:v>
      </x:c>
      <x:c r="D143" t="str">
        <x:v>Reproducibility/data availability</x:v>
      </x:c>
    </x:row>
    <x:row r="144">
      <x:c r="A144" t="str">
        <x:v>S15</x:v>
      </x:c>
      <x:c r="B144" t="str">
        <x:v>Original 34</x:v>
      </x:c>
      <x:c r="C144" t="str">
        <x:v>Agent paradigm</x:v>
      </x:c>
      <x:c r="D144" t="str">
        <x:v>Reactive</x:v>
      </x:c>
    </x:row>
    <x:row r="145">
      <x:c r="A145" t="str">
        <x:v>S15</x:v>
      </x:c>
      <x:c r="B145" t="str">
        <x:v>Original 34</x:v>
      </x:c>
      <x:c r="C145" t="str">
        <x:v>Agent paradigm</x:v>
      </x:c>
      <x:c r="D145" t="str">
        <x:v>Rule-based</x:v>
      </x:c>
    </x:row>
    <x:row r="146">
      <x:c r="A146" t="str">
        <x:v>S15</x:v>
      </x:c>
      <x:c r="B146" t="str">
        <x:v>Original 34</x:v>
      </x:c>
      <x:c r="C146" t="str">
        <x:v>Interaction type</x:v>
      </x:c>
      <x:c r="D146" t="str">
        <x:v>Communication</x:v>
      </x:c>
    </x:row>
    <x:row r="147">
      <x:c r="A147" t="str">
        <x:v>S15</x:v>
      </x:c>
      <x:c r="B147" t="str">
        <x:v>Original 34</x:v>
      </x:c>
      <x:c r="C147" t="str">
        <x:v>Interaction type</x:v>
      </x:c>
      <x:c r="D147" t="str">
        <x:v>Information sharing</x:v>
      </x:c>
    </x:row>
    <x:row r="148">
      <x:c r="A148" t="str">
        <x:v>S15</x:v>
      </x:c>
      <x:c r="B148" t="str">
        <x:v>Original 34</x:v>
      </x:c>
      <x:c r="C148" t="str">
        <x:v>Interaction type</x:v>
      </x:c>
      <x:c r="D148" t="str">
        <x:v>Cooperation</x:v>
      </x:c>
    </x:row>
    <x:row r="149">
      <x:c r="A149" t="str">
        <x:v>S15</x:v>
      </x:c>
      <x:c r="B149" t="str">
        <x:v>Original 34</x:v>
      </x:c>
      <x:c r="C149" t="str">
        <x:v>Interaction type</x:v>
      </x:c>
      <x:c r="D149" t="str">
        <x:v>Coordination</x:v>
      </x:c>
    </x:row>
    <x:row r="150">
      <x:c r="A150" t="str">
        <x:v>S15</x:v>
      </x:c>
      <x:c r="B150" t="str">
        <x:v>Original 34</x:v>
      </x:c>
      <x:c r="C150" t="str">
        <x:v>Interaction type</x:v>
      </x:c>
      <x:c r="D150" t="str">
        <x:v>Task allocation</x:v>
      </x:c>
    </x:row>
    <x:row r="151">
      <x:c r="A151" t="str">
        <x:v>S15</x:v>
      </x:c>
      <x:c r="B151" t="str">
        <x:v>Original 34</x:v>
      </x:c>
      <x:c r="C151" t="str">
        <x:v>Evaluation feature</x:v>
      </x:c>
      <x:c r="D151" t="str">
        <x:v>Prototype/proof-of-concept</x:v>
      </x:c>
    </x:row>
    <x:row r="152">
      <x:c r="A152" t="str">
        <x:v>S15</x:v>
      </x:c>
      <x:c r="B152" t="str">
        <x:v>Original 34</x:v>
      </x:c>
      <x:c r="C152" t="str">
        <x:v>Limitation category</x:v>
      </x:c>
      <x:c r="D152" t="str">
        <x:v>Real-world validation</x:v>
      </x:c>
    </x:row>
    <x:row r="153">
      <x:c r="A153" t="str">
        <x:v>S15</x:v>
      </x:c>
      <x:c r="B153" t="str">
        <x:v>Original 34</x:v>
      </x:c>
      <x:c r="C153" t="str">
        <x:v>Limitation category</x:v>
      </x:c>
      <x:c r="D153" t="str">
        <x:v>Reproducibility/data availability</x:v>
      </x:c>
    </x:row>
    <x:row r="154">
      <x:c r="A154" t="str">
        <x:v>S16</x:v>
      </x:c>
      <x:c r="B154" t="str">
        <x:v>Original 34</x:v>
      </x:c>
      <x:c r="C154" t="str">
        <x:v>Agent paradigm</x:v>
      </x:c>
      <x:c r="D154" t="str">
        <x:v>Utility-based</x:v>
      </x:c>
    </x:row>
    <x:row r="155">
      <x:c r="A155" t="str">
        <x:v>S16</x:v>
      </x:c>
      <x:c r="B155" t="str">
        <x:v>Original 34</x:v>
      </x:c>
      <x:c r="C155" t="str">
        <x:v>Agent paradigm</x:v>
      </x:c>
      <x:c r="D155" t="str">
        <x:v>Rule-based</x:v>
      </x:c>
    </x:row>
    <x:row r="156">
      <x:c r="A156" t="str">
        <x:v>S16</x:v>
      </x:c>
      <x:c r="B156" t="str">
        <x:v>Original 34</x:v>
      </x:c>
      <x:c r="C156" t="str">
        <x:v>Interaction type</x:v>
      </x:c>
      <x:c r="D156" t="str">
        <x:v>Communication</x:v>
      </x:c>
    </x:row>
    <x:row r="157">
      <x:c r="A157" t="str">
        <x:v>S16</x:v>
      </x:c>
      <x:c r="B157" t="str">
        <x:v>Original 34</x:v>
      </x:c>
      <x:c r="C157" t="str">
        <x:v>Interaction type</x:v>
      </x:c>
      <x:c r="D157" t="str">
        <x:v>Information sharing</x:v>
      </x:c>
    </x:row>
    <x:row r="158">
      <x:c r="A158" t="str">
        <x:v>S16</x:v>
      </x:c>
      <x:c r="B158" t="str">
        <x:v>Original 34</x:v>
      </x:c>
      <x:c r="C158" t="str">
        <x:v>Interaction type</x:v>
      </x:c>
      <x:c r="D158" t="str">
        <x:v>Coordination</x:v>
      </x:c>
    </x:row>
    <x:row r="159">
      <x:c r="A159" t="str">
        <x:v>S16</x:v>
      </x:c>
      <x:c r="B159" t="str">
        <x:v>Original 34</x:v>
      </x:c>
      <x:c r="C159" t="str">
        <x:v>Interaction type</x:v>
      </x:c>
      <x:c r="D159" t="str">
        <x:v>Negotiation</x:v>
      </x:c>
    </x:row>
    <x:row r="160">
      <x:c r="A160" t="str">
        <x:v>S16</x:v>
      </x:c>
      <x:c r="B160" t="str">
        <x:v>Original 34</x:v>
      </x:c>
      <x:c r="C160" t="str">
        <x:v>Interaction type</x:v>
      </x:c>
      <x:c r="D160" t="str">
        <x:v>Competition</x:v>
      </x:c>
    </x:row>
    <x:row r="161">
      <x:c r="A161" t="str">
        <x:v>S16</x:v>
      </x:c>
      <x:c r="B161" t="str">
        <x:v>Original 34</x:v>
      </x:c>
      <x:c r="C161" t="str">
        <x:v>Evaluation feature</x:v>
      </x:c>
      <x:c r="D161" t="str">
        <x:v>Simulation</x:v>
      </x:c>
    </x:row>
    <x:row r="162">
      <x:c r="A162" t="str">
        <x:v>S16</x:v>
      </x:c>
      <x:c r="B162" t="str">
        <x:v>Original 34</x:v>
      </x:c>
      <x:c r="C162" t="str">
        <x:v>Evaluation feature</x:v>
      </x:c>
      <x:c r="D162" t="str">
        <x:v>Case study</x:v>
      </x:c>
    </x:row>
    <x:row r="163">
      <x:c r="A163" t="str">
        <x:v>S16</x:v>
      </x:c>
      <x:c r="B163" t="str">
        <x:v>Original 34</x:v>
      </x:c>
      <x:c r="C163" t="str">
        <x:v>Limitation category</x:v>
      </x:c>
      <x:c r="D163" t="str">
        <x:v>Real-world validation</x:v>
      </x:c>
    </x:row>
    <x:row r="164">
      <x:c r="A164" t="str">
        <x:v>S16</x:v>
      </x:c>
      <x:c r="B164" t="str">
        <x:v>Original 34</x:v>
      </x:c>
      <x:c r="C164" t="str">
        <x:v>Limitation category</x:v>
      </x:c>
      <x:c r="D164" t="str">
        <x:v>Reproducibility/data availability</x:v>
      </x:c>
    </x:row>
    <x:row r="165">
      <x:c r="A165" t="str">
        <x:v>S17</x:v>
      </x:c>
      <x:c r="B165" t="str">
        <x:v>Original 34</x:v>
      </x:c>
      <x:c r="C165" t="str">
        <x:v>Agent paradigm</x:v>
      </x:c>
      <x:c r="D165" t="str">
        <x:v>Reactive</x:v>
      </x:c>
    </x:row>
    <x:row r="166">
      <x:c r="A166" t="str">
        <x:v>S17</x:v>
      </x:c>
      <x:c r="B166" t="str">
        <x:v>Original 34</x:v>
      </x:c>
      <x:c r="C166" t="str">
        <x:v>Agent paradigm</x:v>
      </x:c>
      <x:c r="D166" t="str">
        <x:v>Rule-based</x:v>
      </x:c>
    </x:row>
    <x:row r="167">
      <x:c r="A167" t="str">
        <x:v>S17</x:v>
      </x:c>
      <x:c r="B167" t="str">
        <x:v>Original 34</x:v>
      </x:c>
      <x:c r="C167" t="str">
        <x:v>Interaction type</x:v>
      </x:c>
      <x:c r="D167" t="str">
        <x:v>Communication</x:v>
      </x:c>
    </x:row>
    <x:row r="168">
      <x:c r="A168" t="str">
        <x:v>S17</x:v>
      </x:c>
      <x:c r="B168" t="str">
        <x:v>Original 34</x:v>
      </x:c>
      <x:c r="C168" t="str">
        <x:v>Interaction type</x:v>
      </x:c>
      <x:c r="D168" t="str">
        <x:v>Information sharing</x:v>
      </x:c>
    </x:row>
    <x:row r="169">
      <x:c r="A169" t="str">
        <x:v>S17</x:v>
      </x:c>
      <x:c r="B169" t="str">
        <x:v>Original 34</x:v>
      </x:c>
      <x:c r="C169" t="str">
        <x:v>Interaction type</x:v>
      </x:c>
      <x:c r="D169" t="str">
        <x:v>Coordination</x:v>
      </x:c>
    </x:row>
    <x:row r="170">
      <x:c r="A170" t="str">
        <x:v>S17</x:v>
      </x:c>
      <x:c r="B170" t="str">
        <x:v>Original 34</x:v>
      </x:c>
      <x:c r="C170" t="str">
        <x:v>Evaluation feature</x:v>
      </x:c>
      <x:c r="D170" t="str">
        <x:v>Simulation</x:v>
      </x:c>
    </x:row>
    <x:row r="171">
      <x:c r="A171" t="str">
        <x:v>S17</x:v>
      </x:c>
      <x:c r="B171" t="str">
        <x:v>Original 34</x:v>
      </x:c>
      <x:c r="C171" t="str">
        <x:v>Evaluation feature</x:v>
      </x:c>
      <x:c r="D171" t="str">
        <x:v>Case study</x:v>
      </x:c>
    </x:row>
    <x:row r="172">
      <x:c r="A172" t="str">
        <x:v>S17</x:v>
      </x:c>
      <x:c r="B172" t="str">
        <x:v>Original 34</x:v>
      </x:c>
      <x:c r="C172" t="str">
        <x:v>Evaluation feature</x:v>
      </x:c>
      <x:c r="D172" t="str">
        <x:v>Sensitivity/uncertainty analysis</x:v>
      </x:c>
    </x:row>
    <x:row r="173">
      <x:c r="A173" t="str">
        <x:v>S17</x:v>
      </x:c>
      <x:c r="B173" t="str">
        <x:v>Original 34</x:v>
      </x:c>
      <x:c r="C173" t="str">
        <x:v>Limitation category</x:v>
      </x:c>
      <x:c r="D173" t="str">
        <x:v>Uncertainty</x:v>
      </x:c>
    </x:row>
    <x:row r="174">
      <x:c r="A174" t="str">
        <x:v>S17</x:v>
      </x:c>
      <x:c r="B174" t="str">
        <x:v>Original 34</x:v>
      </x:c>
      <x:c r="C174" t="str">
        <x:v>Limitation category</x:v>
      </x:c>
      <x:c r="D174" t="str">
        <x:v>Environmental modelling</x:v>
      </x:c>
    </x:row>
    <x:row r="175">
      <x:c r="A175" t="str">
        <x:v>S17</x:v>
      </x:c>
      <x:c r="B175" t="str">
        <x:v>Original 34</x:v>
      </x:c>
      <x:c r="C175" t="str">
        <x:v>Limitation category</x:v>
      </x:c>
      <x:c r="D175" t="str">
        <x:v>Reproducibility/data availability</x:v>
      </x:c>
    </x:row>
    <x:row r="176">
      <x:c r="A176" t="str">
        <x:v>S17</x:v>
      </x:c>
      <x:c r="B176" t="str">
        <x:v>Original 34</x:v>
      </x:c>
      <x:c r="C176" t="str">
        <x:v>Limitation category</x:v>
      </x:c>
      <x:c r="D176" t="str">
        <x:v>Real-world validation</x:v>
      </x:c>
    </x:row>
    <x:row r="177">
      <x:c r="A177" t="str">
        <x:v>S18</x:v>
      </x:c>
      <x:c r="B177" t="str">
        <x:v>Original 34</x:v>
      </x:c>
      <x:c r="C177" t="str">
        <x:v>Agent paradigm</x:v>
      </x:c>
      <x:c r="D177" t="str">
        <x:v>Learning-based</x:v>
      </x:c>
    </x:row>
    <x:row r="178">
      <x:c r="A178" t="str">
        <x:v>S18</x:v>
      </x:c>
      <x:c r="B178" t="str">
        <x:v>Original 34</x:v>
      </x:c>
      <x:c r="C178" t="str">
        <x:v>Interaction type</x:v>
      </x:c>
      <x:c r="D178" t="str">
        <x:v>Cooperation</x:v>
      </x:c>
    </x:row>
    <x:row r="179">
      <x:c r="A179" t="str">
        <x:v>S18</x:v>
      </x:c>
      <x:c r="B179" t="str">
        <x:v>Original 34</x:v>
      </x:c>
      <x:c r="C179" t="str">
        <x:v>Interaction type</x:v>
      </x:c>
      <x:c r="D179" t="str">
        <x:v>Coordination</x:v>
      </x:c>
    </x:row>
    <x:row r="180">
      <x:c r="A180" t="str">
        <x:v>S18</x:v>
      </x:c>
      <x:c r="B180" t="str">
        <x:v>Original 34</x:v>
      </x:c>
      <x:c r="C180" t="str">
        <x:v>Interaction type</x:v>
      </x:c>
      <x:c r="D180" t="str">
        <x:v>Resource allocation</x:v>
      </x:c>
    </x:row>
    <x:row r="181">
      <x:c r="A181" t="str">
        <x:v>S18</x:v>
      </x:c>
      <x:c r="B181" t="str">
        <x:v>Original 34</x:v>
      </x:c>
      <x:c r="C181" t="str">
        <x:v>Evaluation feature</x:v>
      </x:c>
      <x:c r="D181" t="str">
        <x:v>Simulation</x:v>
      </x:c>
    </x:row>
    <x:row r="182">
      <x:c r="A182" t="str">
        <x:v>S18</x:v>
      </x:c>
      <x:c r="B182" t="str">
        <x:v>Original 34</x:v>
      </x:c>
      <x:c r="C182" t="str">
        <x:v>Evaluation feature</x:v>
      </x:c>
      <x:c r="D182" t="str">
        <x:v>Comparative evaluation/experiment</x:v>
      </x:c>
    </x:row>
    <x:row r="183">
      <x:c r="A183" t="str">
        <x:v>S18</x:v>
      </x:c>
      <x:c r="B183" t="str">
        <x:v>Original 34</x:v>
      </x:c>
      <x:c r="C183" t="str">
        <x:v>Limitation category</x:v>
      </x:c>
      <x:c r="D183" t="str">
        <x:v>Real-world validation</x:v>
      </x:c>
    </x:row>
    <x:row r="184">
      <x:c r="A184" t="str">
        <x:v>S18</x:v>
      </x:c>
      <x:c r="B184" t="str">
        <x:v>Original 34</x:v>
      </x:c>
      <x:c r="C184" t="str">
        <x:v>Limitation category</x:v>
      </x:c>
      <x:c r="D184" t="str">
        <x:v>Reproducibility/data availability</x:v>
      </x:c>
    </x:row>
    <x:row r="185">
      <x:c r="A185" t="str">
        <x:v>S18</x:v>
      </x:c>
      <x:c r="B185" t="str">
        <x:v>Original 34</x:v>
      </x:c>
      <x:c r="C185" t="str">
        <x:v>Limitation category</x:v>
      </x:c>
      <x:c r="D185" t="str">
        <x:v>Computational requirements</x:v>
      </x:c>
    </x:row>
    <x:row r="186">
      <x:c r="A186" t="str">
        <x:v>S18</x:v>
      </x:c>
      <x:c r="B186" t="str">
        <x:v>Original 34</x:v>
      </x:c>
      <x:c r="C186" t="str">
        <x:v>Limitation category</x:v>
      </x:c>
      <x:c r="D186" t="str">
        <x:v>Uncertainty</x:v>
      </x:c>
    </x:row>
    <x:row r="187">
      <x:c r="A187" t="str">
        <x:v>S19</x:v>
      </x:c>
      <x:c r="B187" t="str">
        <x:v>Original 34</x:v>
      </x:c>
      <x:c r="C187" t="str">
        <x:v>Agent paradigm</x:v>
      </x:c>
      <x:c r="D187" t="str">
        <x:v>NR</x:v>
      </x:c>
    </x:row>
    <x:row r="188">
      <x:c r="A188" t="str">
        <x:v>S19</x:v>
      </x:c>
      <x:c r="B188" t="str">
        <x:v>Original 34</x:v>
      </x:c>
      <x:c r="C188" t="str">
        <x:v>Interaction type</x:v>
      </x:c>
      <x:c r="D188" t="str">
        <x:v>Communication</x:v>
      </x:c>
    </x:row>
    <x:row r="189">
      <x:c r="A189" t="str">
        <x:v>S19</x:v>
      </x:c>
      <x:c r="B189" t="str">
        <x:v>Original 34</x:v>
      </x:c>
      <x:c r="C189" t="str">
        <x:v>Interaction type</x:v>
      </x:c>
      <x:c r="D189" t="str">
        <x:v>Coordination</x:v>
      </x:c>
    </x:row>
    <x:row r="190">
      <x:c r="A190" t="str">
        <x:v>S19</x:v>
      </x:c>
      <x:c r="B190" t="str">
        <x:v>Original 34</x:v>
      </x:c>
      <x:c r="C190" t="str">
        <x:v>Interaction type</x:v>
      </x:c>
      <x:c r="D190" t="str">
        <x:v>Task allocation</x:v>
      </x:c>
    </x:row>
    <x:row r="191">
      <x:c r="A191" t="str">
        <x:v>S19</x:v>
      </x:c>
      <x:c r="B191" t="str">
        <x:v>Original 34</x:v>
      </x:c>
      <x:c r="C191" t="str">
        <x:v>Evaluation feature</x:v>
      </x:c>
      <x:c r="D191" t="str">
        <x:v>Simulation</x:v>
      </x:c>
    </x:row>
    <x:row r="192">
      <x:c r="A192" t="str">
        <x:v>S19</x:v>
      </x:c>
      <x:c r="B192" t="str">
        <x:v>Original 34</x:v>
      </x:c>
      <x:c r="C192" t="str">
        <x:v>Evaluation feature</x:v>
      </x:c>
      <x:c r="D192" t="str">
        <x:v>Prototype/proof-of-concept</x:v>
      </x:c>
    </x:row>
    <x:row r="193">
      <x:c r="A193" t="str">
        <x:v>S19</x:v>
      </x:c>
      <x:c r="B193" t="str">
        <x:v>Original 34</x:v>
      </x:c>
      <x:c r="C193" t="str">
        <x:v>Limitation category</x:v>
      </x:c>
      <x:c r="D193" t="str">
        <x:v>Real-world validation</x:v>
      </x:c>
    </x:row>
    <x:row r="194">
      <x:c r="A194" t="str">
        <x:v>S19</x:v>
      </x:c>
      <x:c r="B194" t="str">
        <x:v>Original 34</x:v>
      </x:c>
      <x:c r="C194" t="str">
        <x:v>Limitation category</x:v>
      </x:c>
      <x:c r="D194" t="str">
        <x:v>Computational requirements</x:v>
      </x:c>
    </x:row>
    <x:row r="195">
      <x:c r="A195" t="str">
        <x:v>S19</x:v>
      </x:c>
      <x:c r="B195" t="str">
        <x:v>Original 34</x:v>
      </x:c>
      <x:c r="C195" t="str">
        <x:v>Limitation category</x:v>
      </x:c>
      <x:c r="D195" t="str">
        <x:v>Reproducibility/data availability</x:v>
      </x:c>
    </x:row>
    <x:row r="196">
      <x:c r="A196" t="str">
        <x:v>S20</x:v>
      </x:c>
      <x:c r="B196" t="str">
        <x:v>Original 34</x:v>
      </x:c>
      <x:c r="C196" t="str">
        <x:v>Agent paradigm</x:v>
      </x:c>
      <x:c r="D196" t="str">
        <x:v>Utility-based</x:v>
      </x:c>
    </x:row>
    <x:row r="197">
      <x:c r="A197" t="str">
        <x:v>S20</x:v>
      </x:c>
      <x:c r="B197" t="str">
        <x:v>Original 34</x:v>
      </x:c>
      <x:c r="C197" t="str">
        <x:v>Agent paradigm</x:v>
      </x:c>
      <x:c r="D197" t="str">
        <x:v>Rule-based</x:v>
      </x:c>
    </x:row>
    <x:row r="198">
      <x:c r="A198" t="str">
        <x:v>S20</x:v>
      </x:c>
      <x:c r="B198" t="str">
        <x:v>Original 34</x:v>
      </x:c>
      <x:c r="C198" t="str">
        <x:v>Interaction type</x:v>
      </x:c>
      <x:c r="D198" t="str">
        <x:v>Communication</x:v>
      </x:c>
    </x:row>
    <x:row r="199">
      <x:c r="A199" t="str">
        <x:v>S20</x:v>
      </x:c>
      <x:c r="B199" t="str">
        <x:v>Original 34</x:v>
      </x:c>
      <x:c r="C199" t="str">
        <x:v>Interaction type</x:v>
      </x:c>
      <x:c r="D199" t="str">
        <x:v>Coordination</x:v>
      </x:c>
    </x:row>
    <x:row r="200">
      <x:c r="A200" t="str">
        <x:v>S20</x:v>
      </x:c>
      <x:c r="B200" t="str">
        <x:v>Original 34</x:v>
      </x:c>
      <x:c r="C200" t="str">
        <x:v>Interaction type</x:v>
      </x:c>
      <x:c r="D200" t="str">
        <x:v>Negotiation</x:v>
      </x:c>
    </x:row>
    <x:row r="201">
      <x:c r="A201" t="str">
        <x:v>S20</x:v>
      </x:c>
      <x:c r="B201" t="str">
        <x:v>Original 34</x:v>
      </x:c>
      <x:c r="C201" t="str">
        <x:v>Interaction type</x:v>
      </x:c>
      <x:c r="D201" t="str">
        <x:v>Competition</x:v>
      </x:c>
    </x:row>
    <x:row r="202">
      <x:c r="A202" t="str">
        <x:v>S20</x:v>
      </x:c>
      <x:c r="B202" t="str">
        <x:v>Original 34</x:v>
      </x:c>
      <x:c r="C202" t="str">
        <x:v>Evaluation feature</x:v>
      </x:c>
      <x:c r="D202" t="str">
        <x:v>Simulation</x:v>
      </x:c>
    </x:row>
    <x:row r="203">
      <x:c r="A203" t="str">
        <x:v>S20</x:v>
      </x:c>
      <x:c r="B203" t="str">
        <x:v>Original 34</x:v>
      </x:c>
      <x:c r="C203" t="str">
        <x:v>Evaluation feature</x:v>
      </x:c>
      <x:c r="D203" t="str">
        <x:v>Comparative evaluation/experiment</x:v>
      </x:c>
    </x:row>
    <x:row r="204">
      <x:c r="A204" t="str">
        <x:v>S20</x:v>
      </x:c>
      <x:c r="B204" t="str">
        <x:v>Original 34</x:v>
      </x:c>
      <x:c r="C204" t="str">
        <x:v>Limitation category</x:v>
      </x:c>
      <x:c r="D204" t="str">
        <x:v>Real-world validation</x:v>
      </x:c>
    </x:row>
    <x:row r="205">
      <x:c r="A205" t="str">
        <x:v>S20</x:v>
      </x:c>
      <x:c r="B205" t="str">
        <x:v>Original 34</x:v>
      </x:c>
      <x:c r="C205" t="str">
        <x:v>Limitation category</x:v>
      </x:c>
      <x:c r="D205" t="str">
        <x:v>Reproducibility/data availability</x:v>
      </x:c>
    </x:row>
    <x:row r="206">
      <x:c r="A206" t="str">
        <x:v>S21</x:v>
      </x:c>
      <x:c r="B206" t="str">
        <x:v>Original 34</x:v>
      </x:c>
      <x:c r="C206" t="str">
        <x:v>Agent paradigm</x:v>
      </x:c>
      <x:c r="D206" t="str">
        <x:v>Learning-based</x:v>
      </x:c>
    </x:row>
    <x:row r="207">
      <x:c r="A207" t="str">
        <x:v>S21</x:v>
      </x:c>
      <x:c r="B207" t="str">
        <x:v>Original 34</x:v>
      </x:c>
      <x:c r="C207" t="str">
        <x:v>Interaction type</x:v>
      </x:c>
      <x:c r="D207" t="str">
        <x:v>Communication</x:v>
      </x:c>
    </x:row>
    <x:row r="208">
      <x:c r="A208" t="str">
        <x:v>S21</x:v>
      </x:c>
      <x:c r="B208" t="str">
        <x:v>Original 34</x:v>
      </x:c>
      <x:c r="C208" t="str">
        <x:v>Interaction type</x:v>
      </x:c>
      <x:c r="D208" t="str">
        <x:v>Information sharing</x:v>
      </x:c>
    </x:row>
    <x:row r="209">
      <x:c r="A209" t="str">
        <x:v>S21</x:v>
      </x:c>
      <x:c r="B209" t="str">
        <x:v>Original 34</x:v>
      </x:c>
      <x:c r="C209" t="str">
        <x:v>Interaction type</x:v>
      </x:c>
      <x:c r="D209" t="str">
        <x:v>Cooperation</x:v>
      </x:c>
    </x:row>
    <x:row r="210">
      <x:c r="A210" t="str">
        <x:v>S21</x:v>
      </x:c>
      <x:c r="B210" t="str">
        <x:v>Original 34</x:v>
      </x:c>
      <x:c r="C210" t="str">
        <x:v>Interaction type</x:v>
      </x:c>
      <x:c r="D210" t="str">
        <x:v>Coordination</x:v>
      </x:c>
    </x:row>
    <x:row r="211">
      <x:c r="A211" t="str">
        <x:v>S21</x:v>
      </x:c>
      <x:c r="B211" t="str">
        <x:v>Original 34</x:v>
      </x:c>
      <x:c r="C211" t="str">
        <x:v>Interaction type</x:v>
      </x:c>
      <x:c r="D211" t="str">
        <x:v>Negotiation</x:v>
      </x:c>
    </x:row>
    <x:row r="212">
      <x:c r="A212" t="str">
        <x:v>S21</x:v>
      </x:c>
      <x:c r="B212" t="str">
        <x:v>Original 34</x:v>
      </x:c>
      <x:c r="C212" t="str">
        <x:v>Evaluation feature</x:v>
      </x:c>
      <x:c r="D212" t="str">
        <x:v>Simulation</x:v>
      </x:c>
    </x:row>
    <x:row r="213">
      <x:c r="A213" t="str">
        <x:v>S21</x:v>
      </x:c>
      <x:c r="B213" t="str">
        <x:v>Original 34</x:v>
      </x:c>
      <x:c r="C213" t="str">
        <x:v>Evaluation feature</x:v>
      </x:c>
      <x:c r="D213" t="str">
        <x:v>Case study</x:v>
      </x:c>
    </x:row>
    <x:row r="214">
      <x:c r="A214" t="str">
        <x:v>S21</x:v>
      </x:c>
      <x:c r="B214" t="str">
        <x:v>Original 34</x:v>
      </x:c>
      <x:c r="C214" t="str">
        <x:v>Evaluation feature</x:v>
      </x:c>
      <x:c r="D214" t="str">
        <x:v>Comparative evaluation/experiment</x:v>
      </x:c>
    </x:row>
    <x:row r="215">
      <x:c r="A215" t="str">
        <x:v>S21</x:v>
      </x:c>
      <x:c r="B215" t="str">
        <x:v>Original 34</x:v>
      </x:c>
      <x:c r="C215" t="str">
        <x:v>Limitation category</x:v>
      </x:c>
      <x:c r="D215" t="str">
        <x:v>Real-world validation</x:v>
      </x:c>
    </x:row>
    <x:row r="216">
      <x:c r="A216" t="str">
        <x:v>S21</x:v>
      </x:c>
      <x:c r="B216" t="str">
        <x:v>Original 34</x:v>
      </x:c>
      <x:c r="C216" t="str">
        <x:v>Limitation category</x:v>
      </x:c>
      <x:c r="D216" t="str">
        <x:v>Uncertainty</x:v>
      </x:c>
    </x:row>
    <x:row r="217">
      <x:c r="A217" t="str">
        <x:v>S21</x:v>
      </x:c>
      <x:c r="B217" t="str">
        <x:v>Original 34</x:v>
      </x:c>
      <x:c r="C217" t="str">
        <x:v>Limitation category</x:v>
      </x:c>
      <x:c r="D217" t="str">
        <x:v>Scalability</x:v>
      </x:c>
    </x:row>
    <x:row r="218">
      <x:c r="A218" t="str">
        <x:v>S21</x:v>
      </x:c>
      <x:c r="B218" t="str">
        <x:v>Original 34</x:v>
      </x:c>
      <x:c r="C218" t="str">
        <x:v>Limitation category</x:v>
      </x:c>
      <x:c r="D218" t="str">
        <x:v>Reproducibility/data availability</x:v>
      </x:c>
    </x:row>
    <x:row r="219">
      <x:c r="A219" t="str">
        <x:v>S22</x:v>
      </x:c>
      <x:c r="B219" t="str">
        <x:v>Original 34</x:v>
      </x:c>
      <x:c r="C219" t="str">
        <x:v>Agent paradigm</x:v>
      </x:c>
      <x:c r="D219" t="str">
        <x:v>BDI</x:v>
      </x:c>
    </x:row>
    <x:row r="220">
      <x:c r="A220" t="str">
        <x:v>S22</x:v>
      </x:c>
      <x:c r="B220" t="str">
        <x:v>Original 34</x:v>
      </x:c>
      <x:c r="C220" t="str">
        <x:v>Agent paradigm</x:v>
      </x:c>
      <x:c r="D220" t="str">
        <x:v>Rule-based</x:v>
      </x:c>
    </x:row>
    <x:row r="221">
      <x:c r="A221" t="str">
        <x:v>S22</x:v>
      </x:c>
      <x:c r="B221" t="str">
        <x:v>Original 34</x:v>
      </x:c>
      <x:c r="C221" t="str">
        <x:v>Interaction type</x:v>
      </x:c>
      <x:c r="D221" t="str">
        <x:v>Information sharing</x:v>
      </x:c>
    </x:row>
    <x:row r="222">
      <x:c r="A222" t="str">
        <x:v>S22</x:v>
      </x:c>
      <x:c r="B222" t="str">
        <x:v>Original 34</x:v>
      </x:c>
      <x:c r="C222" t="str">
        <x:v>Interaction type</x:v>
      </x:c>
      <x:c r="D222" t="str">
        <x:v>Coordination</x:v>
      </x:c>
    </x:row>
    <x:row r="223">
      <x:c r="A223" t="str">
        <x:v>S22</x:v>
      </x:c>
      <x:c r="B223" t="str">
        <x:v>Original 34</x:v>
      </x:c>
      <x:c r="C223" t="str">
        <x:v>Evaluation feature</x:v>
      </x:c>
      <x:c r="D223" t="str">
        <x:v>Simulation</x:v>
      </x:c>
    </x:row>
    <x:row r="224">
      <x:c r="A224" t="str">
        <x:v>S22</x:v>
      </x:c>
      <x:c r="B224" t="str">
        <x:v>Original 34</x:v>
      </x:c>
      <x:c r="C224" t="str">
        <x:v>Evaluation feature</x:v>
      </x:c>
      <x:c r="D224" t="str">
        <x:v>Case study</x:v>
      </x:c>
    </x:row>
    <x:row r="225">
      <x:c r="A225" t="str">
        <x:v>S22</x:v>
      </x:c>
      <x:c r="B225" t="str">
        <x:v>Original 34</x:v>
      </x:c>
      <x:c r="C225" t="str">
        <x:v>Limitation category</x:v>
      </x:c>
      <x:c r="D225" t="str">
        <x:v>Uncertainty</x:v>
      </x:c>
    </x:row>
    <x:row r="226">
      <x:c r="A226" t="str">
        <x:v>S22</x:v>
      </x:c>
      <x:c r="B226" t="str">
        <x:v>Original 34</x:v>
      </x:c>
      <x:c r="C226" t="str">
        <x:v>Limitation category</x:v>
      </x:c>
      <x:c r="D226" t="str">
        <x:v>Reproducibility/data availability</x:v>
      </x:c>
    </x:row>
    <x:row r="227">
      <x:c r="A227" t="str">
        <x:v>S22</x:v>
      </x:c>
      <x:c r="B227" t="str">
        <x:v>Original 34</x:v>
      </x:c>
      <x:c r="C227" t="str">
        <x:v>Limitation category</x:v>
      </x:c>
      <x:c r="D227" t="str">
        <x:v>Computational requirements</x:v>
      </x:c>
    </x:row>
    <x:row r="228">
      <x:c r="A228" t="str">
        <x:v>S22</x:v>
      </x:c>
      <x:c r="B228" t="str">
        <x:v>Original 34</x:v>
      </x:c>
      <x:c r="C228" t="str">
        <x:v>Limitation category</x:v>
      </x:c>
      <x:c r="D228" t="str">
        <x:v>Real-world validation</x:v>
      </x:c>
    </x:row>
    <x:row r="229">
      <x:c r="A229" t="str">
        <x:v>S23</x:v>
      </x:c>
      <x:c r="B229" t="str">
        <x:v>Original 34</x:v>
      </x:c>
      <x:c r="C229" t="str">
        <x:v>Agent paradigm</x:v>
      </x:c>
      <x:c r="D229" t="str">
        <x:v>Learning-based</x:v>
      </x:c>
    </x:row>
    <x:row r="230">
      <x:c r="A230" t="str">
        <x:v>S23</x:v>
      </x:c>
      <x:c r="B230" t="str">
        <x:v>Original 34</x:v>
      </x:c>
      <x:c r="C230" t="str">
        <x:v>Interaction type</x:v>
      </x:c>
      <x:c r="D230" t="str">
        <x:v>Communication</x:v>
      </x:c>
    </x:row>
    <x:row r="231">
      <x:c r="A231" t="str">
        <x:v>S23</x:v>
      </x:c>
      <x:c r="B231" t="str">
        <x:v>Original 34</x:v>
      </x:c>
      <x:c r="C231" t="str">
        <x:v>Interaction type</x:v>
      </x:c>
      <x:c r="D231" t="str">
        <x:v>Information sharing</x:v>
      </x:c>
    </x:row>
    <x:row r="232">
      <x:c r="A232" t="str">
        <x:v>S23</x:v>
      </x:c>
      <x:c r="B232" t="str">
        <x:v>Original 34</x:v>
      </x:c>
      <x:c r="C232" t="str">
        <x:v>Interaction type</x:v>
      </x:c>
      <x:c r="D232" t="str">
        <x:v>Coordination</x:v>
      </x:c>
    </x:row>
    <x:row r="233">
      <x:c r="A233" t="str">
        <x:v>S23</x:v>
      </x:c>
      <x:c r="B233" t="str">
        <x:v>Original 34</x:v>
      </x:c>
      <x:c r="C233" t="str">
        <x:v>Interaction type</x:v>
      </x:c>
      <x:c r="D233" t="str">
        <x:v>Cooperation</x:v>
      </x:c>
    </x:row>
    <x:row r="234">
      <x:c r="A234" t="str">
        <x:v>S23</x:v>
      </x:c>
      <x:c r="B234" t="str">
        <x:v>Original 34</x:v>
      </x:c>
      <x:c r="C234" t="str">
        <x:v>Evaluation feature</x:v>
      </x:c>
      <x:c r="D234" t="str">
        <x:v>Simulation</x:v>
      </x:c>
    </x:row>
    <x:row r="235">
      <x:c r="A235" t="str">
        <x:v>S23</x:v>
      </x:c>
      <x:c r="B235" t="str">
        <x:v>Original 34</x:v>
      </x:c>
      <x:c r="C235" t="str">
        <x:v>Evaluation feature</x:v>
      </x:c>
      <x:c r="D235" t="str">
        <x:v>Case study</x:v>
      </x:c>
    </x:row>
    <x:row r="236">
      <x:c r="A236" t="str">
        <x:v>S23</x:v>
      </x:c>
      <x:c r="B236" t="str">
        <x:v>Original 34</x:v>
      </x:c>
      <x:c r="C236" t="str">
        <x:v>Limitation category</x:v>
      </x:c>
      <x:c r="D236" t="str">
        <x:v>Computational requirements</x:v>
      </x:c>
    </x:row>
    <x:row r="237">
      <x:c r="A237" t="str">
        <x:v>S23</x:v>
      </x:c>
      <x:c r="B237" t="str">
        <x:v>Original 34</x:v>
      </x:c>
      <x:c r="C237" t="str">
        <x:v>Limitation category</x:v>
      </x:c>
      <x:c r="D237" t="str">
        <x:v>Scalability</x:v>
      </x:c>
    </x:row>
    <x:row r="238">
      <x:c r="A238" t="str">
        <x:v>S23</x:v>
      </x:c>
      <x:c r="B238" t="str">
        <x:v>Original 34</x:v>
      </x:c>
      <x:c r="C238" t="str">
        <x:v>Limitation category</x:v>
      </x:c>
      <x:c r="D238" t="str">
        <x:v>Real-world validation</x:v>
      </x:c>
    </x:row>
    <x:row r="239">
      <x:c r="A239" t="str">
        <x:v>S24</x:v>
      </x:c>
      <x:c r="B239" t="str">
        <x:v>Original 34</x:v>
      </x:c>
      <x:c r="C239" t="str">
        <x:v>Agent paradigm</x:v>
      </x:c>
      <x:c r="D239" t="str">
        <x:v>Rule-based</x:v>
      </x:c>
    </x:row>
    <x:row r="240">
      <x:c r="A240" t="str">
        <x:v>S24</x:v>
      </x:c>
      <x:c r="B240" t="str">
        <x:v>Original 34</x:v>
      </x:c>
      <x:c r="C240" t="str">
        <x:v>Agent paradigm</x:v>
      </x:c>
      <x:c r="D240" t="str">
        <x:v>Learning-based</x:v>
      </x:c>
    </x:row>
    <x:row r="241">
      <x:c r="A241" t="str">
        <x:v>S24</x:v>
      </x:c>
      <x:c r="B241" t="str">
        <x:v>Original 34</x:v>
      </x:c>
      <x:c r="C241" t="str">
        <x:v>Agent paradigm</x:v>
      </x:c>
      <x:c r="D241" t="str">
        <x:v>Case-based reasoning</x:v>
      </x:c>
    </x:row>
    <x:row r="242">
      <x:c r="A242" t="str">
        <x:v>S24</x:v>
      </x:c>
      <x:c r="B242" t="str">
        <x:v>Original 34</x:v>
      </x:c>
      <x:c r="C242" t="str">
        <x:v>Interaction type</x:v>
      </x:c>
      <x:c r="D242" t="str">
        <x:v>Communication</x:v>
      </x:c>
    </x:row>
    <x:row r="243">
      <x:c r="A243" t="str">
        <x:v>S24</x:v>
      </x:c>
      <x:c r="B243" t="str">
        <x:v>Original 34</x:v>
      </x:c>
      <x:c r="C243" t="str">
        <x:v>Interaction type</x:v>
      </x:c>
      <x:c r="D243" t="str">
        <x:v>Information sharing</x:v>
      </x:c>
    </x:row>
    <x:row r="244">
      <x:c r="A244" t="str">
        <x:v>S24</x:v>
      </x:c>
      <x:c r="B244" t="str">
        <x:v>Original 34</x:v>
      </x:c>
      <x:c r="C244" t="str">
        <x:v>Interaction type</x:v>
      </x:c>
      <x:c r="D244" t="str">
        <x:v>Coordination</x:v>
      </x:c>
    </x:row>
    <x:row r="245">
      <x:c r="A245" t="str">
        <x:v>S24</x:v>
      </x:c>
      <x:c r="B245" t="str">
        <x:v>Original 34</x:v>
      </x:c>
      <x:c r="C245" t="str">
        <x:v>Evaluation feature</x:v>
      </x:c>
      <x:c r="D245" t="str">
        <x:v>Simulation</x:v>
      </x:c>
    </x:row>
    <x:row r="246">
      <x:c r="A246" t="str">
        <x:v>S24</x:v>
      </x:c>
      <x:c r="B246" t="str">
        <x:v>Original 34</x:v>
      </x:c>
      <x:c r="C246" t="str">
        <x:v>Evaluation feature</x:v>
      </x:c>
      <x:c r="D246" t="str">
        <x:v>Case study</x:v>
      </x:c>
    </x:row>
    <x:row r="247">
      <x:c r="A247" t="str">
        <x:v>S24</x:v>
      </x:c>
      <x:c r="B247" t="str">
        <x:v>Original 34</x:v>
      </x:c>
      <x:c r="C247" t="str">
        <x:v>Limitation category</x:v>
      </x:c>
      <x:c r="D247" t="str">
        <x:v>Real-world validation</x:v>
      </x:c>
    </x:row>
    <x:row r="248">
      <x:c r="A248" t="str">
        <x:v>S25</x:v>
      </x:c>
      <x:c r="B248" t="str">
        <x:v>Original 34</x:v>
      </x:c>
      <x:c r="C248" t="str">
        <x:v>Agent paradigm</x:v>
      </x:c>
      <x:c r="D248" t="str">
        <x:v>Utility-based</x:v>
      </x:c>
    </x:row>
    <x:row r="249">
      <x:c r="A249" t="str">
        <x:v>S25</x:v>
      </x:c>
      <x:c r="B249" t="str">
        <x:v>Original 34</x:v>
      </x:c>
      <x:c r="C249" t="str">
        <x:v>Agent paradigm</x:v>
      </x:c>
      <x:c r="D249" t="str">
        <x:v>Rule-based</x:v>
      </x:c>
    </x:row>
    <x:row r="250">
      <x:c r="A250" t="str">
        <x:v>S25</x:v>
      </x:c>
      <x:c r="B250" t="str">
        <x:v>Original 34</x:v>
      </x:c>
      <x:c r="C250" t="str">
        <x:v>Interaction type</x:v>
      </x:c>
      <x:c r="D250" t="str">
        <x:v>Communication</x:v>
      </x:c>
    </x:row>
    <x:row r="251">
      <x:c r="A251" t="str">
        <x:v>S25</x:v>
      </x:c>
      <x:c r="B251" t="str">
        <x:v>Original 34</x:v>
      </x:c>
      <x:c r="C251" t="str">
        <x:v>Interaction type</x:v>
      </x:c>
      <x:c r="D251" t="str">
        <x:v>Coordination</x:v>
      </x:c>
    </x:row>
    <x:row r="252">
      <x:c r="A252" t="str">
        <x:v>S25</x:v>
      </x:c>
      <x:c r="B252" t="str">
        <x:v>Original 34</x:v>
      </x:c>
      <x:c r="C252" t="str">
        <x:v>Interaction type</x:v>
      </x:c>
      <x:c r="D252" t="str">
        <x:v>Competition</x:v>
      </x:c>
    </x:row>
    <x:row r="253">
      <x:c r="A253" t="str">
        <x:v>S25</x:v>
      </x:c>
      <x:c r="B253" t="str">
        <x:v>Original 34</x:v>
      </x:c>
      <x:c r="C253" t="str">
        <x:v>Interaction type</x:v>
      </x:c>
      <x:c r="D253" t="str">
        <x:v>Task allocation</x:v>
      </x:c>
    </x:row>
    <x:row r="254">
      <x:c r="A254" t="str">
        <x:v>S25</x:v>
      </x:c>
      <x:c r="B254" t="str">
        <x:v>Original 34</x:v>
      </x:c>
      <x:c r="C254" t="str">
        <x:v>Evaluation feature</x:v>
      </x:c>
      <x:c r="D254" t="str">
        <x:v>Simulation</x:v>
      </x:c>
    </x:row>
    <x:row r="255">
      <x:c r="A255" t="str">
        <x:v>S25</x:v>
      </x:c>
      <x:c r="B255" t="str">
        <x:v>Original 34</x:v>
      </x:c>
      <x:c r="C255" t="str">
        <x:v>Evaluation feature</x:v>
      </x:c>
      <x:c r="D255" t="str">
        <x:v>Case study</x:v>
      </x:c>
    </x:row>
    <x:row r="256">
      <x:c r="A256" t="str">
        <x:v>S25</x:v>
      </x:c>
      <x:c r="B256" t="str">
        <x:v>Original 34</x:v>
      </x:c>
      <x:c r="C256" t="str">
        <x:v>Limitation category</x:v>
      </x:c>
      <x:c r="D256" t="str">
        <x:v>Uncertainty</x:v>
      </x:c>
    </x:row>
    <x:row r="257">
      <x:c r="A257" t="str">
        <x:v>S25</x:v>
      </x:c>
      <x:c r="B257" t="str">
        <x:v>Original 34</x:v>
      </x:c>
      <x:c r="C257" t="str">
        <x:v>Limitation category</x:v>
      </x:c>
      <x:c r="D257" t="str">
        <x:v>Real-world validation</x:v>
      </x:c>
    </x:row>
    <x:row r="258">
      <x:c r="A258" t="str">
        <x:v>S25</x:v>
      </x:c>
      <x:c r="B258" t="str">
        <x:v>Original 34</x:v>
      </x:c>
      <x:c r="C258" t="str">
        <x:v>Limitation category</x:v>
      </x:c>
      <x:c r="D258" t="str">
        <x:v>Reproducibility/data availability</x:v>
      </x:c>
    </x:row>
    <x:row r="259">
      <x:c r="A259" t="str">
        <x:v>S25</x:v>
      </x:c>
      <x:c r="B259" t="str">
        <x:v>Original 34</x:v>
      </x:c>
      <x:c r="C259" t="str">
        <x:v>Limitation category</x:v>
      </x:c>
      <x:c r="D259" t="str">
        <x:v>Adoption/usability</x:v>
      </x:c>
    </x:row>
    <x:row r="260">
      <x:c r="A260" t="str">
        <x:v>S26</x:v>
      </x:c>
      <x:c r="B260" t="str">
        <x:v>Original 34</x:v>
      </x:c>
      <x:c r="C260" t="str">
        <x:v>Agent paradigm</x:v>
      </x:c>
      <x:c r="D260" t="str">
        <x:v>Learning-based</x:v>
      </x:c>
    </x:row>
    <x:row r="261">
      <x:c r="A261" t="str">
        <x:v>S26</x:v>
      </x:c>
      <x:c r="B261" t="str">
        <x:v>Original 34</x:v>
      </x:c>
      <x:c r="C261" t="str">
        <x:v>Interaction type</x:v>
      </x:c>
      <x:c r="D261" t="str">
        <x:v>Coordination</x:v>
      </x:c>
    </x:row>
    <x:row r="262">
      <x:c r="A262" t="str">
        <x:v>S26</x:v>
      </x:c>
      <x:c r="B262" t="str">
        <x:v>Original 34</x:v>
      </x:c>
      <x:c r="C262" t="str">
        <x:v>Evaluation feature</x:v>
      </x:c>
      <x:c r="D262" t="str">
        <x:v>Simulation</x:v>
      </x:c>
    </x:row>
    <x:row r="263">
      <x:c r="A263" t="str">
        <x:v>S26</x:v>
      </x:c>
      <x:c r="B263" t="str">
        <x:v>Original 34</x:v>
      </x:c>
      <x:c r="C263" t="str">
        <x:v>Evaluation feature</x:v>
      </x:c>
      <x:c r="D263" t="str">
        <x:v>Case study</x:v>
      </x:c>
    </x:row>
    <x:row r="264">
      <x:c r="A264" t="str">
        <x:v>S26</x:v>
      </x:c>
      <x:c r="B264" t="str">
        <x:v>Original 34</x:v>
      </x:c>
      <x:c r="C264" t="str">
        <x:v>Limitation category</x:v>
      </x:c>
      <x:c r="D264" t="str">
        <x:v>Uncertainty</x:v>
      </x:c>
    </x:row>
    <x:row r="265">
      <x:c r="A265" t="str">
        <x:v>S26</x:v>
      </x:c>
      <x:c r="B265" t="str">
        <x:v>Original 34</x:v>
      </x:c>
      <x:c r="C265" t="str">
        <x:v>Limitation category</x:v>
      </x:c>
      <x:c r="D265" t="str">
        <x:v>Reproducibility/data availability</x:v>
      </x:c>
    </x:row>
    <x:row r="266">
      <x:c r="A266" t="str">
        <x:v>S26</x:v>
      </x:c>
      <x:c r="B266" t="str">
        <x:v>Original 34</x:v>
      </x:c>
      <x:c r="C266" t="str">
        <x:v>Limitation category</x:v>
      </x:c>
      <x:c r="D266" t="str">
        <x:v>Real-world validation</x:v>
      </x:c>
    </x:row>
    <x:row r="267">
      <x:c r="A267" t="str">
        <x:v>S27</x:v>
      </x:c>
      <x:c r="B267" t="str">
        <x:v>Original 34</x:v>
      </x:c>
      <x:c r="C267" t="str">
        <x:v>Agent paradigm</x:v>
      </x:c>
      <x:c r="D267" t="str">
        <x:v>Rule-based</x:v>
      </x:c>
    </x:row>
    <x:row r="268">
      <x:c r="A268" t="str">
        <x:v>S27</x:v>
      </x:c>
      <x:c r="B268" t="str">
        <x:v>Original 34</x:v>
      </x:c>
      <x:c r="C268" t="str">
        <x:v>Agent paradigm</x:v>
      </x:c>
      <x:c r="D268" t="str">
        <x:v>Utility-based</x:v>
      </x:c>
    </x:row>
    <x:row r="269">
      <x:c r="A269" t="str">
        <x:v>S27</x:v>
      </x:c>
      <x:c r="B269" t="str">
        <x:v>Original 34</x:v>
      </x:c>
      <x:c r="C269" t="str">
        <x:v>Interaction type</x:v>
      </x:c>
      <x:c r="D269" t="str">
        <x:v>Information sharing</x:v>
      </x:c>
    </x:row>
    <x:row r="270">
      <x:c r="A270" t="str">
        <x:v>S27</x:v>
      </x:c>
      <x:c r="B270" t="str">
        <x:v>Original 34</x:v>
      </x:c>
      <x:c r="C270" t="str">
        <x:v>Interaction type</x:v>
      </x:c>
      <x:c r="D270" t="str">
        <x:v>Indirect interaction</x:v>
      </x:c>
    </x:row>
    <x:row r="271">
      <x:c r="A271" t="str">
        <x:v>S27</x:v>
      </x:c>
      <x:c r="B271" t="str">
        <x:v>Original 34</x:v>
      </x:c>
      <x:c r="C271" t="str">
        <x:v>Evaluation feature</x:v>
      </x:c>
      <x:c r="D271" t="str">
        <x:v>Simulation</x:v>
      </x:c>
    </x:row>
    <x:row r="272">
      <x:c r="A272" t="str">
        <x:v>S27</x:v>
      </x:c>
      <x:c r="B272" t="str">
        <x:v>Original 34</x:v>
      </x:c>
      <x:c r="C272" t="str">
        <x:v>Evaluation feature</x:v>
      </x:c>
      <x:c r="D272" t="str">
        <x:v>Case study</x:v>
      </x:c>
    </x:row>
    <x:row r="273">
      <x:c r="A273" t="str">
        <x:v>S27</x:v>
      </x:c>
      <x:c r="B273" t="str">
        <x:v>Original 34</x:v>
      </x:c>
      <x:c r="C273" t="str">
        <x:v>Limitation category</x:v>
      </x:c>
      <x:c r="D273" t="str">
        <x:v>Uncertainty</x:v>
      </x:c>
    </x:row>
    <x:row r="274">
      <x:c r="A274" t="str">
        <x:v>S27</x:v>
      </x:c>
      <x:c r="B274" t="str">
        <x:v>Original 34</x:v>
      </x:c>
      <x:c r="C274" t="str">
        <x:v>Limitation category</x:v>
      </x:c>
      <x:c r="D274" t="str">
        <x:v>Scalability</x:v>
      </x:c>
    </x:row>
    <x:row r="275">
      <x:c r="A275" t="str">
        <x:v>S27</x:v>
      </x:c>
      <x:c r="B275" t="str">
        <x:v>Original 34</x:v>
      </x:c>
      <x:c r="C275" t="str">
        <x:v>Limitation category</x:v>
      </x:c>
      <x:c r="D275" t="str">
        <x:v>Real-world validation</x:v>
      </x:c>
    </x:row>
    <x:row r="276">
      <x:c r="A276" t="str">
        <x:v>S27</x:v>
      </x:c>
      <x:c r="B276" t="str">
        <x:v>Original 34</x:v>
      </x:c>
      <x:c r="C276" t="str">
        <x:v>Limitation category</x:v>
      </x:c>
      <x:c r="D276" t="str">
        <x:v>Environmental modelling</x:v>
      </x:c>
    </x:row>
    <x:row r="277">
      <x:c r="A277" t="str">
        <x:v>S27</x:v>
      </x:c>
      <x:c r="B277" t="str">
        <x:v>Original 34</x:v>
      </x:c>
      <x:c r="C277" t="str">
        <x:v>Limitation category</x:v>
      </x:c>
      <x:c r="D277" t="str">
        <x:v>Reproducibility/data availability</x:v>
      </x:c>
    </x:row>
    <x:row r="278">
      <x:c r="A278" t="str">
        <x:v>S28</x:v>
      </x:c>
      <x:c r="B278" t="str">
        <x:v>Original 34</x:v>
      </x:c>
      <x:c r="C278" t="str">
        <x:v>Agent paradigm</x:v>
      </x:c>
      <x:c r="D278" t="str">
        <x:v>Utility-based</x:v>
      </x:c>
    </x:row>
    <x:row r="279">
      <x:c r="A279" t="str">
        <x:v>S28</x:v>
      </x:c>
      <x:c r="B279" t="str">
        <x:v>Original 34</x:v>
      </x:c>
      <x:c r="C279" t="str">
        <x:v>Agent paradigm</x:v>
      </x:c>
      <x:c r="D279" t="str">
        <x:v>Rule-based</x:v>
      </x:c>
    </x:row>
    <x:row r="280">
      <x:c r="A280" t="str">
        <x:v>S28</x:v>
      </x:c>
      <x:c r="B280" t="str">
        <x:v>Original 34</x:v>
      </x:c>
      <x:c r="C280" t="str">
        <x:v>Interaction type</x:v>
      </x:c>
      <x:c r="D280" t="str">
        <x:v>Information sharing</x:v>
      </x:c>
    </x:row>
    <x:row r="281">
      <x:c r="A281" t="str">
        <x:v>S28</x:v>
      </x:c>
      <x:c r="B281" t="str">
        <x:v>Original 34</x:v>
      </x:c>
      <x:c r="C281" t="str">
        <x:v>Interaction type</x:v>
      </x:c>
      <x:c r="D281" t="str">
        <x:v>Coordination</x:v>
      </x:c>
    </x:row>
    <x:row r="282">
      <x:c r="A282" t="str">
        <x:v>S28</x:v>
      </x:c>
      <x:c r="B282" t="str">
        <x:v>Original 34</x:v>
      </x:c>
      <x:c r="C282" t="str">
        <x:v>Interaction type</x:v>
      </x:c>
      <x:c r="D282" t="str">
        <x:v>Competition</x:v>
      </x:c>
    </x:row>
    <x:row r="283">
      <x:c r="A283" t="str">
        <x:v>S28</x:v>
      </x:c>
      <x:c r="B283" t="str">
        <x:v>Original 34</x:v>
      </x:c>
      <x:c r="C283" t="str">
        <x:v>Interaction type</x:v>
      </x:c>
      <x:c r="D283" t="str">
        <x:v>Resource allocation</x:v>
      </x:c>
    </x:row>
    <x:row r="284">
      <x:c r="A284" t="str">
        <x:v>S28</x:v>
      </x:c>
      <x:c r="B284" t="str">
        <x:v>Original 34</x:v>
      </x:c>
      <x:c r="C284" t="str">
        <x:v>Evaluation feature</x:v>
      </x:c>
      <x:c r="D284" t="str">
        <x:v>Simulation</x:v>
      </x:c>
    </x:row>
    <x:row r="285">
      <x:c r="A285" t="str">
        <x:v>S28</x:v>
      </x:c>
      <x:c r="B285" t="str">
        <x:v>Original 34</x:v>
      </x:c>
      <x:c r="C285" t="str">
        <x:v>Evaluation feature</x:v>
      </x:c>
      <x:c r="D285" t="str">
        <x:v>Case study</x:v>
      </x:c>
    </x:row>
    <x:row r="286">
      <x:c r="A286" t="str">
        <x:v>S28</x:v>
      </x:c>
      <x:c r="B286" t="str">
        <x:v>Original 34</x:v>
      </x:c>
      <x:c r="C286" t="str">
        <x:v>Evaluation feature</x:v>
      </x:c>
      <x:c r="D286" t="str">
        <x:v>Calibration/validation</x:v>
      </x:c>
    </x:row>
    <x:row r="287">
      <x:c r="A287" t="str">
        <x:v>S28</x:v>
      </x:c>
      <x:c r="B287" t="str">
        <x:v>Original 34</x:v>
      </x:c>
      <x:c r="C287" t="str">
        <x:v>Evaluation feature</x:v>
      </x:c>
      <x:c r="D287" t="str">
        <x:v>Policy/scenario evaluation</x:v>
      </x:c>
    </x:row>
    <x:row r="288">
      <x:c r="A288" t="str">
        <x:v>S28</x:v>
      </x:c>
      <x:c r="B288" t="str">
        <x:v>Original 34</x:v>
      </x:c>
      <x:c r="C288" t="str">
        <x:v>Limitation category</x:v>
      </x:c>
      <x:c r="D288" t="str">
        <x:v>Environmental modelling</x:v>
      </x:c>
    </x:row>
    <x:row r="289">
      <x:c r="A289" t="str">
        <x:v>S28</x:v>
      </x:c>
      <x:c r="B289" t="str">
        <x:v>Original 34</x:v>
      </x:c>
      <x:c r="C289" t="str">
        <x:v>Limitation category</x:v>
      </x:c>
      <x:c r="D289" t="str">
        <x:v>Computational requirements</x:v>
      </x:c>
    </x:row>
    <x:row r="290">
      <x:c r="A290" t="str">
        <x:v>S28</x:v>
      </x:c>
      <x:c r="B290" t="str">
        <x:v>Original 34</x:v>
      </x:c>
      <x:c r="C290" t="str">
        <x:v>Limitation category</x:v>
      </x:c>
      <x:c r="D290" t="str">
        <x:v>Real-world validation</x:v>
      </x:c>
    </x:row>
    <x:row r="291">
      <x:c r="A291" t="str">
        <x:v>S29</x:v>
      </x:c>
      <x:c r="B291" t="str">
        <x:v>Original 34</x:v>
      </x:c>
      <x:c r="C291" t="str">
        <x:v>Agent paradigm</x:v>
      </x:c>
      <x:c r="D291" t="str">
        <x:v>Rule-based</x:v>
      </x:c>
    </x:row>
    <x:row r="292">
      <x:c r="A292" t="str">
        <x:v>S29</x:v>
      </x:c>
      <x:c r="B292" t="str">
        <x:v>Original 34</x:v>
      </x:c>
      <x:c r="C292" t="str">
        <x:v>Interaction type</x:v>
      </x:c>
      <x:c r="D292" t="str">
        <x:v>Communication</x:v>
      </x:c>
    </x:row>
    <x:row r="293">
      <x:c r="A293" t="str">
        <x:v>S29</x:v>
      </x:c>
      <x:c r="B293" t="str">
        <x:v>Original 34</x:v>
      </x:c>
      <x:c r="C293" t="str">
        <x:v>Interaction type</x:v>
      </x:c>
      <x:c r="D293" t="str">
        <x:v>Coordination</x:v>
      </x:c>
    </x:row>
    <x:row r="294">
      <x:c r="A294" t="str">
        <x:v>S29</x:v>
      </x:c>
      <x:c r="B294" t="str">
        <x:v>Original 34</x:v>
      </x:c>
      <x:c r="C294" t="str">
        <x:v>Interaction type</x:v>
      </x:c>
      <x:c r="D294" t="str">
        <x:v>Negotiation</x:v>
      </x:c>
    </x:row>
    <x:row r="295">
      <x:c r="A295" t="str">
        <x:v>S29</x:v>
      </x:c>
      <x:c r="B295" t="str">
        <x:v>Original 34</x:v>
      </x:c>
      <x:c r="C295" t="str">
        <x:v>Interaction type</x:v>
      </x:c>
      <x:c r="D295" t="str">
        <x:v>Competition</x:v>
      </x:c>
    </x:row>
    <x:row r="296">
      <x:c r="A296" t="str">
        <x:v>S29</x:v>
      </x:c>
      <x:c r="B296" t="str">
        <x:v>Original 34</x:v>
      </x:c>
      <x:c r="C296" t="str">
        <x:v>Evaluation feature</x:v>
      </x:c>
      <x:c r="D296" t="str">
        <x:v>Simulation</x:v>
      </x:c>
    </x:row>
    <x:row r="297">
      <x:c r="A297" t="str">
        <x:v>S29</x:v>
      </x:c>
      <x:c r="B297" t="str">
        <x:v>Original 34</x:v>
      </x:c>
      <x:c r="C297" t="str">
        <x:v>Evaluation feature</x:v>
      </x:c>
      <x:c r="D297" t="str">
        <x:v>Comparative evaluation/experiment</x:v>
      </x:c>
    </x:row>
    <x:row r="298">
      <x:c r="A298" t="str">
        <x:v>S29</x:v>
      </x:c>
      <x:c r="B298" t="str">
        <x:v>Original 34</x:v>
      </x:c>
      <x:c r="C298" t="str">
        <x:v>Limitation category</x:v>
      </x:c>
      <x:c r="D298" t="str">
        <x:v>Real-world validation</x:v>
      </x:c>
    </x:row>
    <x:row r="299">
      <x:c r="A299" t="str">
        <x:v>S29</x:v>
      </x:c>
      <x:c r="B299" t="str">
        <x:v>Original 34</x:v>
      </x:c>
      <x:c r="C299" t="str">
        <x:v>Limitation category</x:v>
      </x:c>
      <x:c r="D299" t="str">
        <x:v>Environmental modelling</x:v>
      </x:c>
    </x:row>
    <x:row r="300">
      <x:c r="A300" t="str">
        <x:v>S30</x:v>
      </x:c>
      <x:c r="B300" t="str">
        <x:v>Original 34</x:v>
      </x:c>
      <x:c r="C300" t="str">
        <x:v>Agent paradigm</x:v>
      </x:c>
      <x:c r="D300" t="str">
        <x:v>NR</x:v>
      </x:c>
    </x:row>
    <x:row r="301">
      <x:c r="A301" t="str">
        <x:v>S30</x:v>
      </x:c>
      <x:c r="B301" t="str">
        <x:v>Original 34</x:v>
      </x:c>
      <x:c r="C301" t="str">
        <x:v>Interaction type</x:v>
      </x:c>
      <x:c r="D301" t="str">
        <x:v>Communication</x:v>
      </x:c>
    </x:row>
    <x:row r="302">
      <x:c r="A302" t="str">
        <x:v>S30</x:v>
      </x:c>
      <x:c r="B302" t="str">
        <x:v>Original 34</x:v>
      </x:c>
      <x:c r="C302" t="str">
        <x:v>Interaction type</x:v>
      </x:c>
      <x:c r="D302" t="str">
        <x:v>Information sharing</x:v>
      </x:c>
    </x:row>
    <x:row r="303">
      <x:c r="A303" t="str">
        <x:v>S30</x:v>
      </x:c>
      <x:c r="B303" t="str">
        <x:v>Original 34</x:v>
      </x:c>
      <x:c r="C303" t="str">
        <x:v>Interaction type</x:v>
      </x:c>
      <x:c r="D303" t="str">
        <x:v>Coordination</x:v>
      </x:c>
    </x:row>
    <x:row r="304">
      <x:c r="A304" t="str">
        <x:v>S30</x:v>
      </x:c>
      <x:c r="B304" t="str">
        <x:v>Original 34</x:v>
      </x:c>
      <x:c r="C304" t="str">
        <x:v>Interaction type</x:v>
      </x:c>
      <x:c r="D304" t="str">
        <x:v>Task allocation</x:v>
      </x:c>
    </x:row>
    <x:row r="305">
      <x:c r="A305" t="str">
        <x:v>S30</x:v>
      </x:c>
      <x:c r="B305" t="str">
        <x:v>Original 34</x:v>
      </x:c>
      <x:c r="C305" t="str">
        <x:v>Evaluation feature</x:v>
      </x:c>
      <x:c r="D305" t="str">
        <x:v>Simulation</x:v>
      </x:c>
    </x:row>
    <x:row r="306">
      <x:c r="A306" t="str">
        <x:v>S30</x:v>
      </x:c>
      <x:c r="B306" t="str">
        <x:v>Original 34</x:v>
      </x:c>
      <x:c r="C306" t="str">
        <x:v>Limitation category</x:v>
      </x:c>
      <x:c r="D306" t="str">
        <x:v>Environmental modelling</x:v>
      </x:c>
    </x:row>
    <x:row r="307">
      <x:c r="A307" t="str">
        <x:v>S30</x:v>
      </x:c>
      <x:c r="B307" t="str">
        <x:v>Original 34</x:v>
      </x:c>
      <x:c r="C307" t="str">
        <x:v>Limitation category</x:v>
      </x:c>
      <x:c r="D307" t="str">
        <x:v>Real-world validation</x:v>
      </x:c>
    </x:row>
    <x:row r="308">
      <x:c r="A308" t="str">
        <x:v>S31</x:v>
      </x:c>
      <x:c r="B308" t="str">
        <x:v>Original 34</x:v>
      </x:c>
      <x:c r="C308" t="str">
        <x:v>Agent paradigm</x:v>
      </x:c>
      <x:c r="D308" t="str">
        <x:v>NR</x:v>
      </x:c>
    </x:row>
    <x:row r="309">
      <x:c r="A309" t="str">
        <x:v>S31</x:v>
      </x:c>
      <x:c r="B309" t="str">
        <x:v>Original 34</x:v>
      </x:c>
      <x:c r="C309" t="str">
        <x:v>Interaction type</x:v>
      </x:c>
      <x:c r="D309" t="str">
        <x:v>Communication</x:v>
      </x:c>
    </x:row>
    <x:row r="310">
      <x:c r="A310" t="str">
        <x:v>S31</x:v>
      </x:c>
      <x:c r="B310" t="str">
        <x:v>Original 34</x:v>
      </x:c>
      <x:c r="C310" t="str">
        <x:v>Interaction type</x:v>
      </x:c>
      <x:c r="D310" t="str">
        <x:v>Coordination</x:v>
      </x:c>
    </x:row>
    <x:row r="311">
      <x:c r="A311" t="str">
        <x:v>S31</x:v>
      </x:c>
      <x:c r="B311" t="str">
        <x:v>Original 34</x:v>
      </x:c>
      <x:c r="C311" t="str">
        <x:v>Interaction type</x:v>
      </x:c>
      <x:c r="D311" t="str">
        <x:v>Task allocation</x:v>
      </x:c>
    </x:row>
    <x:row r="312">
      <x:c r="A312" t="str">
        <x:v>S31</x:v>
      </x:c>
      <x:c r="B312" t="str">
        <x:v>Original 34</x:v>
      </x:c>
      <x:c r="C312" t="str">
        <x:v>Evaluation feature</x:v>
      </x:c>
      <x:c r="D312" t="str">
        <x:v>Simulation</x:v>
      </x:c>
    </x:row>
    <x:row r="313">
      <x:c r="A313" t="str">
        <x:v>S31</x:v>
      </x:c>
      <x:c r="B313" t="str">
        <x:v>Original 34</x:v>
      </x:c>
      <x:c r="C313" t="str">
        <x:v>Evaluation feature</x:v>
      </x:c>
      <x:c r="D313" t="str">
        <x:v>Comparative evaluation/experiment</x:v>
      </x:c>
    </x:row>
    <x:row r="314">
      <x:c r="A314" t="str">
        <x:v>S31</x:v>
      </x:c>
      <x:c r="B314" t="str">
        <x:v>Original 34</x:v>
      </x:c>
      <x:c r="C314" t="str">
        <x:v>Limitation category</x:v>
      </x:c>
      <x:c r="D314" t="str">
        <x:v>Real-world validation</x:v>
      </x:c>
    </x:row>
    <x:row r="315">
      <x:c r="A315" t="str">
        <x:v>S32</x:v>
      </x:c>
      <x:c r="B315" t="str">
        <x:v>Original 34</x:v>
      </x:c>
      <x:c r="C315" t="str">
        <x:v>Agent paradigm</x:v>
      </x:c>
      <x:c r="D315" t="str">
        <x:v>Learning-based</x:v>
      </x:c>
    </x:row>
    <x:row r="316">
      <x:c r="A316" t="str">
        <x:v>S32</x:v>
      </x:c>
      <x:c r="B316" t="str">
        <x:v>Original 34</x:v>
      </x:c>
      <x:c r="C316" t="str">
        <x:v>Agent paradigm</x:v>
      </x:c>
      <x:c r="D316" t="str">
        <x:v>Utility-based</x:v>
      </x:c>
    </x:row>
    <x:row r="317">
      <x:c r="A317" t="str">
        <x:v>S32</x:v>
      </x:c>
      <x:c r="B317" t="str">
        <x:v>Original 34</x:v>
      </x:c>
      <x:c r="C317" t="str">
        <x:v>Agent paradigm</x:v>
      </x:c>
      <x:c r="D317" t="str">
        <x:v>Rule-based</x:v>
      </x:c>
    </x:row>
    <x:row r="318">
      <x:c r="A318" t="str">
        <x:v>S32</x:v>
      </x:c>
      <x:c r="B318" t="str">
        <x:v>Original 34</x:v>
      </x:c>
      <x:c r="C318" t="str">
        <x:v>Interaction type</x:v>
      </x:c>
      <x:c r="D318" t="str">
        <x:v>Competition</x:v>
      </x:c>
    </x:row>
    <x:row r="319">
      <x:c r="A319" t="str">
        <x:v>S32</x:v>
      </x:c>
      <x:c r="B319" t="str">
        <x:v>Original 34</x:v>
      </x:c>
      <x:c r="C319" t="str">
        <x:v>Interaction type</x:v>
      </x:c>
      <x:c r="D319" t="str">
        <x:v>Coordination</x:v>
      </x:c>
    </x:row>
    <x:row r="320">
      <x:c r="A320" t="str">
        <x:v>S32</x:v>
      </x:c>
      <x:c r="B320" t="str">
        <x:v>Original 34</x:v>
      </x:c>
      <x:c r="C320" t="str">
        <x:v>Evaluation feature</x:v>
      </x:c>
      <x:c r="D320" t="str">
        <x:v>Simulation</x:v>
      </x:c>
    </x:row>
    <x:row r="321">
      <x:c r="A321" t="str">
        <x:v>S32</x:v>
      </x:c>
      <x:c r="B321" t="str">
        <x:v>Original 34</x:v>
      </x:c>
      <x:c r="C321" t="str">
        <x:v>Evaluation feature</x:v>
      </x:c>
      <x:c r="D321" t="str">
        <x:v>Case study</x:v>
      </x:c>
    </x:row>
    <x:row r="322">
      <x:c r="A322" t="str">
        <x:v>S32</x:v>
      </x:c>
      <x:c r="B322" t="str">
        <x:v>Original 34</x:v>
      </x:c>
      <x:c r="C322" t="str">
        <x:v>Evaluation feature</x:v>
      </x:c>
      <x:c r="D322" t="str">
        <x:v>Comparative evaluation/experiment</x:v>
      </x:c>
    </x:row>
    <x:row r="323">
      <x:c r="A323" t="str">
        <x:v>S32</x:v>
      </x:c>
      <x:c r="B323" t="str">
        <x:v>Original 34</x:v>
      </x:c>
      <x:c r="C323" t="str">
        <x:v>Evaluation feature</x:v>
      </x:c>
      <x:c r="D323" t="str">
        <x:v>Calibration/validation</x:v>
      </x:c>
    </x:row>
    <x:row r="324">
      <x:c r="A324" t="str">
        <x:v>S32</x:v>
      </x:c>
      <x:c r="B324" t="str">
        <x:v>Original 34</x:v>
      </x:c>
      <x:c r="C324" t="str">
        <x:v>Evaluation feature</x:v>
      </x:c>
      <x:c r="D324" t="str">
        <x:v>Policy/scenario evaluation</x:v>
      </x:c>
    </x:row>
    <x:row r="325">
      <x:c r="A325" t="str">
        <x:v>S32</x:v>
      </x:c>
      <x:c r="B325" t="str">
        <x:v>Original 34</x:v>
      </x:c>
      <x:c r="C325" t="str">
        <x:v>Limitation category</x:v>
      </x:c>
      <x:c r="D325" t="str">
        <x:v>Environmental modelling</x:v>
      </x:c>
    </x:row>
    <x:row r="326">
      <x:c r="A326" t="str">
        <x:v>S32</x:v>
      </x:c>
      <x:c r="B326" t="str">
        <x:v>Original 34</x:v>
      </x:c>
      <x:c r="C326" t="str">
        <x:v>Limitation category</x:v>
      </x:c>
      <x:c r="D326" t="str">
        <x:v>Real-world validation</x:v>
      </x:c>
    </x:row>
    <x:row r="327">
      <x:c r="A327" t="str">
        <x:v>S33</x:v>
      </x:c>
      <x:c r="B327" t="str">
        <x:v>Original 34</x:v>
      </x:c>
      <x:c r="C327" t="str">
        <x:v>Agent paradigm</x:v>
      </x:c>
      <x:c r="D327" t="str">
        <x:v>Utility-based</x:v>
      </x:c>
    </x:row>
    <x:row r="328">
      <x:c r="A328" t="str">
        <x:v>S33</x:v>
      </x:c>
      <x:c r="B328" t="str">
        <x:v>Original 34</x:v>
      </x:c>
      <x:c r="C328" t="str">
        <x:v>Agent paradigm</x:v>
      </x:c>
      <x:c r="D328" t="str">
        <x:v>Rule-based</x:v>
      </x:c>
    </x:row>
    <x:row r="329">
      <x:c r="A329" t="str">
        <x:v>S33</x:v>
      </x:c>
      <x:c r="B329" t="str">
        <x:v>Original 34</x:v>
      </x:c>
      <x:c r="C329" t="str">
        <x:v>Interaction type</x:v>
      </x:c>
      <x:c r="D329" t="str">
        <x:v>Communication</x:v>
      </x:c>
    </x:row>
    <x:row r="330">
      <x:c r="A330" t="str">
        <x:v>S33</x:v>
      </x:c>
      <x:c r="B330" t="str">
        <x:v>Original 34</x:v>
      </x:c>
      <x:c r="C330" t="str">
        <x:v>Interaction type</x:v>
      </x:c>
      <x:c r="D330" t="str">
        <x:v>Coordination</x:v>
      </x:c>
    </x:row>
    <x:row r="331">
      <x:c r="A331" t="str">
        <x:v>S33</x:v>
      </x:c>
      <x:c r="B331" t="str">
        <x:v>Original 34</x:v>
      </x:c>
      <x:c r="C331" t="str">
        <x:v>Interaction type</x:v>
      </x:c>
      <x:c r="D331" t="str">
        <x:v>Competition</x:v>
      </x:c>
    </x:row>
    <x:row r="332">
      <x:c r="A332" t="str">
        <x:v>S33</x:v>
      </x:c>
      <x:c r="B332" t="str">
        <x:v>Original 34</x:v>
      </x:c>
      <x:c r="C332" t="str">
        <x:v>Interaction type</x:v>
      </x:c>
      <x:c r="D332" t="str">
        <x:v>Task allocation</x:v>
      </x:c>
    </x:row>
    <x:row r="333">
      <x:c r="A333" t="str">
        <x:v>S33</x:v>
      </x:c>
      <x:c r="B333" t="str">
        <x:v>Original 34</x:v>
      </x:c>
      <x:c r="C333" t="str">
        <x:v>Evaluation feature</x:v>
      </x:c>
      <x:c r="D333" t="str">
        <x:v>Simulation</x:v>
      </x:c>
    </x:row>
    <x:row r="334">
      <x:c r="A334" t="str">
        <x:v>S33</x:v>
      </x:c>
      <x:c r="B334" t="str">
        <x:v>Original 34</x:v>
      </x:c>
      <x:c r="C334" t="str">
        <x:v>Evaluation feature</x:v>
      </x:c>
      <x:c r="D334" t="str">
        <x:v>Case study</x:v>
      </x:c>
    </x:row>
    <x:row r="335">
      <x:c r="A335" t="str">
        <x:v>S33</x:v>
      </x:c>
      <x:c r="B335" t="str">
        <x:v>Original 34</x:v>
      </x:c>
      <x:c r="C335" t="str">
        <x:v>Evaluation feature</x:v>
      </x:c>
      <x:c r="D335" t="str">
        <x:v>Comparative evaluation/experiment</x:v>
      </x:c>
    </x:row>
    <x:row r="336">
      <x:c r="A336" t="str">
        <x:v>S33</x:v>
      </x:c>
      <x:c r="B336" t="str">
        <x:v>Original 34</x:v>
      </x:c>
      <x:c r="C336" t="str">
        <x:v>Limitation category</x:v>
      </x:c>
      <x:c r="D336" t="str">
        <x:v>Real-world validation</x:v>
      </x:c>
    </x:row>
    <x:row r="337">
      <x:c r="A337" t="str">
        <x:v>S33</x:v>
      </x:c>
      <x:c r="B337" t="str">
        <x:v>Original 34</x:v>
      </x:c>
      <x:c r="C337" t="str">
        <x:v>Limitation category</x:v>
      </x:c>
      <x:c r="D337" t="str">
        <x:v>Uncertainty</x:v>
      </x:c>
    </x:row>
    <x:row r="338">
      <x:c r="A338" t="str">
        <x:v>S33</x:v>
      </x:c>
      <x:c r="B338" t="str">
        <x:v>Original 34</x:v>
      </x:c>
      <x:c r="C338" t="str">
        <x:v>Limitation category</x:v>
      </x:c>
      <x:c r="D338" t="str">
        <x:v>Computational requirements</x:v>
      </x:c>
    </x:row>
    <x:row r="339">
      <x:c r="A339" t="str">
        <x:v>S33</x:v>
      </x:c>
      <x:c r="B339" t="str">
        <x:v>Original 34</x:v>
      </x:c>
      <x:c r="C339" t="str">
        <x:v>Limitation category</x:v>
      </x:c>
      <x:c r="D339" t="str">
        <x:v>Adoption/usability</x:v>
      </x:c>
    </x:row>
    <x:row r="340">
      <x:c r="A340" t="str">
        <x:v>S34</x:v>
      </x:c>
      <x:c r="B340" t="str">
        <x:v>Original 34</x:v>
      </x:c>
      <x:c r="C340" t="str">
        <x:v>Agent paradigm</x:v>
      </x:c>
      <x:c r="D340" t="str">
        <x:v>Utility-based</x:v>
      </x:c>
    </x:row>
    <x:row r="341">
      <x:c r="A341" t="str">
        <x:v>S34</x:v>
      </x:c>
      <x:c r="B341" t="str">
        <x:v>Original 34</x:v>
      </x:c>
      <x:c r="C341" t="str">
        <x:v>Agent paradigm</x:v>
      </x:c>
      <x:c r="D341" t="str">
        <x:v>Rule-based</x:v>
      </x:c>
    </x:row>
    <x:row r="342">
      <x:c r="A342" t="str">
        <x:v>S34</x:v>
      </x:c>
      <x:c r="B342" t="str">
        <x:v>Original 34</x:v>
      </x:c>
      <x:c r="C342" t="str">
        <x:v>Interaction type</x:v>
      </x:c>
      <x:c r="D342" t="str">
        <x:v>Communication</x:v>
      </x:c>
    </x:row>
    <x:row r="343">
      <x:c r="A343" t="str">
        <x:v>S34</x:v>
      </x:c>
      <x:c r="B343" t="str">
        <x:v>Original 34</x:v>
      </x:c>
      <x:c r="C343" t="str">
        <x:v>Interaction type</x:v>
      </x:c>
      <x:c r="D343" t="str">
        <x:v>Coordination</x:v>
      </x:c>
    </x:row>
    <x:row r="344">
      <x:c r="A344" t="str">
        <x:v>S34</x:v>
      </x:c>
      <x:c r="B344" t="str">
        <x:v>Original 34</x:v>
      </x:c>
      <x:c r="C344" t="str">
        <x:v>Interaction type</x:v>
      </x:c>
      <x:c r="D344" t="str">
        <x:v>Competition</x:v>
      </x:c>
    </x:row>
    <x:row r="345">
      <x:c r="A345" t="str">
        <x:v>S34</x:v>
      </x:c>
      <x:c r="B345" t="str">
        <x:v>Original 34</x:v>
      </x:c>
      <x:c r="C345" t="str">
        <x:v>Interaction type</x:v>
      </x:c>
      <x:c r="D345" t="str">
        <x:v>Task allocation</x:v>
      </x:c>
    </x:row>
    <x:row r="346">
      <x:c r="A346" t="str">
        <x:v>S34</x:v>
      </x:c>
      <x:c r="B346" t="str">
        <x:v>Original 34</x:v>
      </x:c>
      <x:c r="C346" t="str">
        <x:v>Evaluation feature</x:v>
      </x:c>
      <x:c r="D346" t="str">
        <x:v>Case study</x:v>
      </x:c>
    </x:row>
    <x:row r="347">
      <x:c r="A347" t="str">
        <x:v>S34</x:v>
      </x:c>
      <x:c r="B347" t="str">
        <x:v>Original 34</x:v>
      </x:c>
      <x:c r="C347" t="str">
        <x:v>Evaluation feature</x:v>
      </x:c>
      <x:c r="D347" t="str">
        <x:v>Comparative evaluation/experiment</x:v>
      </x:c>
    </x:row>
    <x:row r="348">
      <x:c r="A348" t="str">
        <x:v>S34</x:v>
      </x:c>
      <x:c r="B348" t="str">
        <x:v>Original 34</x:v>
      </x:c>
      <x:c r="C348" t="str">
        <x:v>Evaluation feature</x:v>
      </x:c>
      <x:c r="D348" t="str">
        <x:v>Computational evaluation</x:v>
      </x:c>
    </x:row>
    <x:row r="349">
      <x:c r="A349" t="str">
        <x:v>S34</x:v>
      </x:c>
      <x:c r="B349" t="str">
        <x:v>Original 34</x:v>
      </x:c>
      <x:c r="C349" t="str">
        <x:v>Limitation category</x:v>
      </x:c>
      <x:c r="D349" t="str">
        <x:v>Computational requirements</x:v>
      </x:c>
    </x:row>
    <x:row r="350">
      <x:c r="A350" t="str">
        <x:v>S34</x:v>
      </x:c>
      <x:c r="B350" t="str">
        <x:v>Original 34</x:v>
      </x:c>
      <x:c r="C350" t="str">
        <x:v>Limitation category</x:v>
      </x:c>
      <x:c r="D350" t="str">
        <x:v>Real-world validation</x:v>
      </x:c>
    </x:row>
    <x:row r="351">
      <x:c r="A351" t="str">
        <x:v>S35</x:v>
      </x:c>
      <x:c r="B351" t="str">
        <x:v>Citation search +19</x:v>
      </x:c>
      <x:c r="C351" t="str">
        <x:v>Agent paradigm</x:v>
      </x:c>
      <x:c r="D351" t="str">
        <x:v>Utility-based</x:v>
      </x:c>
    </x:row>
    <x:row r="352">
      <x:c r="A352" t="str">
        <x:v>S35</x:v>
      </x:c>
      <x:c r="B352" t="str">
        <x:v>Citation search +19</x:v>
      </x:c>
      <x:c r="C352" t="str">
        <x:v>Agent paradigm</x:v>
      </x:c>
      <x:c r="D352" t="str">
        <x:v>Rule-based</x:v>
      </x:c>
    </x:row>
    <x:row r="353">
      <x:c r="A353" t="str">
        <x:v>S35</x:v>
      </x:c>
      <x:c r="B353" t="str">
        <x:v>Citation search +19</x:v>
      </x:c>
      <x:c r="C353" t="str">
        <x:v>Interaction type</x:v>
      </x:c>
      <x:c r="D353" t="str">
        <x:v>Communication</x:v>
      </x:c>
    </x:row>
    <x:row r="354">
      <x:c r="A354" t="str">
        <x:v>S35</x:v>
      </x:c>
      <x:c r="B354" t="str">
        <x:v>Citation search +19</x:v>
      </x:c>
      <x:c r="C354" t="str">
        <x:v>Interaction type</x:v>
      </x:c>
      <x:c r="D354" t="str">
        <x:v>Information sharing</x:v>
      </x:c>
    </x:row>
    <x:row r="355">
      <x:c r="A355" t="str">
        <x:v>S35</x:v>
      </x:c>
      <x:c r="B355" t="str">
        <x:v>Citation search +19</x:v>
      </x:c>
      <x:c r="C355" t="str">
        <x:v>Interaction type</x:v>
      </x:c>
      <x:c r="D355" t="str">
        <x:v>Competition</x:v>
      </x:c>
    </x:row>
    <x:row r="356">
      <x:c r="A356" t="str">
        <x:v>S35</x:v>
      </x:c>
      <x:c r="B356" t="str">
        <x:v>Citation search +19</x:v>
      </x:c>
      <x:c r="C356" t="str">
        <x:v>Interaction type</x:v>
      </x:c>
      <x:c r="D356" t="str">
        <x:v>Coordination</x:v>
      </x:c>
    </x:row>
    <x:row r="357">
      <x:c r="A357" t="str">
        <x:v>S35</x:v>
      </x:c>
      <x:c r="B357" t="str">
        <x:v>Citation search +19</x:v>
      </x:c>
      <x:c r="C357" t="str">
        <x:v>Evaluation feature</x:v>
      </x:c>
      <x:c r="D357" t="str">
        <x:v>Simulation</x:v>
      </x:c>
    </x:row>
    <x:row r="358">
      <x:c r="A358" t="str">
        <x:v>S35</x:v>
      </x:c>
      <x:c r="B358" t="str">
        <x:v>Citation search +19</x:v>
      </x:c>
      <x:c r="C358" t="str">
        <x:v>Evaluation feature</x:v>
      </x:c>
      <x:c r="D358" t="str">
        <x:v>Case study</x:v>
      </x:c>
    </x:row>
    <x:row r="359">
      <x:c r="A359" t="str">
        <x:v>S35</x:v>
      </x:c>
      <x:c r="B359" t="str">
        <x:v>Citation search +19</x:v>
      </x:c>
      <x:c r="C359" t="str">
        <x:v>Evaluation feature</x:v>
      </x:c>
      <x:c r="D359" t="str">
        <x:v>Comparative evaluation/experiment</x:v>
      </x:c>
    </x:row>
    <x:row r="360">
      <x:c r="A360" t="str">
        <x:v>S35</x:v>
      </x:c>
      <x:c r="B360" t="str">
        <x:v>Citation search +19</x:v>
      </x:c>
      <x:c r="C360" t="str">
        <x:v>Evaluation feature</x:v>
      </x:c>
      <x:c r="D360" t="str">
        <x:v>Calibration/validation</x:v>
      </x:c>
    </x:row>
    <x:row r="361">
      <x:c r="A361" t="str">
        <x:v>S35</x:v>
      </x:c>
      <x:c r="B361" t="str">
        <x:v>Citation search +19</x:v>
      </x:c>
      <x:c r="C361" t="str">
        <x:v>Limitation category</x:v>
      </x:c>
      <x:c r="D361" t="str">
        <x:v>Scalability</x:v>
      </x:c>
    </x:row>
    <x:row r="362">
      <x:c r="A362" t="str">
        <x:v>S35</x:v>
      </x:c>
      <x:c r="B362" t="str">
        <x:v>Citation search +19</x:v>
      </x:c>
      <x:c r="C362" t="str">
        <x:v>Limitation category</x:v>
      </x:c>
      <x:c r="D362" t="str">
        <x:v>Real-world validation</x:v>
      </x:c>
    </x:row>
    <x:row r="363">
      <x:c r="A363" t="str">
        <x:v>S36</x:v>
      </x:c>
      <x:c r="B363" t="str">
        <x:v>Citation search +19</x:v>
      </x:c>
      <x:c r="C363" t="str">
        <x:v>Agent paradigm</x:v>
      </x:c>
      <x:c r="D363" t="str">
        <x:v>Utility-based</x:v>
      </x:c>
    </x:row>
    <x:row r="364">
      <x:c r="A364" t="str">
        <x:v>S36</x:v>
      </x:c>
      <x:c r="B364" t="str">
        <x:v>Citation search +19</x:v>
      </x:c>
      <x:c r="C364" t="str">
        <x:v>Agent paradigm</x:v>
      </x:c>
      <x:c r="D364" t="str">
        <x:v>Rule-based</x:v>
      </x:c>
    </x:row>
    <x:row r="365">
      <x:c r="A365" t="str">
        <x:v>S36</x:v>
      </x:c>
      <x:c r="B365" t="str">
        <x:v>Citation search +19</x:v>
      </x:c>
      <x:c r="C365" t="str">
        <x:v>Interaction type</x:v>
      </x:c>
      <x:c r="D365" t="str">
        <x:v>Communication</x:v>
      </x:c>
    </x:row>
    <x:row r="366">
      <x:c r="A366" t="str">
        <x:v>S36</x:v>
      </x:c>
      <x:c r="B366" t="str">
        <x:v>Citation search +19</x:v>
      </x:c>
      <x:c r="C366" t="str">
        <x:v>Interaction type</x:v>
      </x:c>
      <x:c r="D366" t="str">
        <x:v>Information sharing</x:v>
      </x:c>
    </x:row>
    <x:row r="367">
      <x:c r="A367" t="str">
        <x:v>S36</x:v>
      </x:c>
      <x:c r="B367" t="str">
        <x:v>Citation search +19</x:v>
      </x:c>
      <x:c r="C367" t="str">
        <x:v>Evaluation feature</x:v>
      </x:c>
      <x:c r="D367" t="str">
        <x:v>Simulation</x:v>
      </x:c>
    </x:row>
    <x:row r="368">
      <x:c r="A368" t="str">
        <x:v>S36</x:v>
      </x:c>
      <x:c r="B368" t="str">
        <x:v>Citation search +19</x:v>
      </x:c>
      <x:c r="C368" t="str">
        <x:v>Evaluation feature</x:v>
      </x:c>
      <x:c r="D368" t="str">
        <x:v>Case study</x:v>
      </x:c>
    </x:row>
    <x:row r="369">
      <x:c r="A369" t="str">
        <x:v>S36</x:v>
      </x:c>
      <x:c r="B369" t="str">
        <x:v>Citation search +19</x:v>
      </x:c>
      <x:c r="C369" t="str">
        <x:v>Evaluation feature</x:v>
      </x:c>
      <x:c r="D369" t="str">
        <x:v>Comparative evaluation/experiment</x:v>
      </x:c>
    </x:row>
    <x:row r="370">
      <x:c r="A370" t="str">
        <x:v>S36</x:v>
      </x:c>
      <x:c r="B370" t="str">
        <x:v>Citation search +19</x:v>
      </x:c>
      <x:c r="C370" t="str">
        <x:v>Evaluation feature</x:v>
      </x:c>
      <x:c r="D370" t="str">
        <x:v>Calibration/validation</x:v>
      </x:c>
    </x:row>
    <x:row r="371">
      <x:c r="A371" t="str">
        <x:v>S36</x:v>
      </x:c>
      <x:c r="B371" t="str">
        <x:v>Citation search +19</x:v>
      </x:c>
      <x:c r="C371" t="str">
        <x:v>Evaluation feature</x:v>
      </x:c>
      <x:c r="D371" t="str">
        <x:v>Policy/scenario evaluation</x:v>
      </x:c>
    </x:row>
    <x:row r="372">
      <x:c r="A372" t="str">
        <x:v>S36</x:v>
      </x:c>
      <x:c r="B372" t="str">
        <x:v>Citation search +19</x:v>
      </x:c>
      <x:c r="C372" t="str">
        <x:v>Limitation category</x:v>
      </x:c>
      <x:c r="D372" t="str">
        <x:v>Uncertainty</x:v>
      </x:c>
    </x:row>
    <x:row r="373">
      <x:c r="A373" t="str">
        <x:v>S36</x:v>
      </x:c>
      <x:c r="B373" t="str">
        <x:v>Citation search +19</x:v>
      </x:c>
      <x:c r="C373" t="str">
        <x:v>Limitation category</x:v>
      </x:c>
      <x:c r="D373" t="str">
        <x:v>Environmental modelling</x:v>
      </x:c>
    </x:row>
    <x:row r="374">
      <x:c r="A374" t="str">
        <x:v>S36</x:v>
      </x:c>
      <x:c r="B374" t="str">
        <x:v>Citation search +19</x:v>
      </x:c>
      <x:c r="C374" t="str">
        <x:v>Limitation category</x:v>
      </x:c>
      <x:c r="D374" t="str">
        <x:v>Real-world validation</x:v>
      </x:c>
    </x:row>
    <x:row r="375">
      <x:c r="A375" t="str">
        <x:v>S37</x:v>
      </x:c>
      <x:c r="B375" t="str">
        <x:v>Citation search +19</x:v>
      </x:c>
      <x:c r="C375" t="str">
        <x:v>Agent paradigm</x:v>
      </x:c>
      <x:c r="D375" t="str">
        <x:v>Utility-based</x:v>
      </x:c>
    </x:row>
    <x:row r="376">
      <x:c r="A376" t="str">
        <x:v>S37</x:v>
      </x:c>
      <x:c r="B376" t="str">
        <x:v>Citation search +19</x:v>
      </x:c>
      <x:c r="C376" t="str">
        <x:v>Agent paradigm</x:v>
      </x:c>
      <x:c r="D376" t="str">
        <x:v>Rule-based</x:v>
      </x:c>
    </x:row>
    <x:row r="377">
      <x:c r="A377" t="str">
        <x:v>S37</x:v>
      </x:c>
      <x:c r="B377" t="str">
        <x:v>Citation search +19</x:v>
      </x:c>
      <x:c r="C377" t="str">
        <x:v>Interaction type</x:v>
      </x:c>
      <x:c r="D377" t="str">
        <x:v>Communication</x:v>
      </x:c>
    </x:row>
    <x:row r="378">
      <x:c r="A378" t="str">
        <x:v>S37</x:v>
      </x:c>
      <x:c r="B378" t="str">
        <x:v>Citation search +19</x:v>
      </x:c>
      <x:c r="C378" t="str">
        <x:v>Interaction type</x:v>
      </x:c>
      <x:c r="D378" t="str">
        <x:v>Information sharing</x:v>
      </x:c>
    </x:row>
    <x:row r="379">
      <x:c r="A379" t="str">
        <x:v>S37</x:v>
      </x:c>
      <x:c r="B379" t="str">
        <x:v>Citation search +19</x:v>
      </x:c>
      <x:c r="C379" t="str">
        <x:v>Interaction type</x:v>
      </x:c>
      <x:c r="D379" t="str">
        <x:v>Coordination</x:v>
      </x:c>
    </x:row>
    <x:row r="380">
      <x:c r="A380" t="str">
        <x:v>S37</x:v>
      </x:c>
      <x:c r="B380" t="str">
        <x:v>Citation search +19</x:v>
      </x:c>
      <x:c r="C380" t="str">
        <x:v>Evaluation feature</x:v>
      </x:c>
      <x:c r="D380" t="str">
        <x:v>Simulation</x:v>
      </x:c>
    </x:row>
    <x:row r="381">
      <x:c r="A381" t="str">
        <x:v>S37</x:v>
      </x:c>
      <x:c r="B381" t="str">
        <x:v>Citation search +19</x:v>
      </x:c>
      <x:c r="C381" t="str">
        <x:v>Evaluation feature</x:v>
      </x:c>
      <x:c r="D381" t="str">
        <x:v>Case study</x:v>
      </x:c>
    </x:row>
    <x:row r="382">
      <x:c r="A382" t="str">
        <x:v>S37</x:v>
      </x:c>
      <x:c r="B382" t="str">
        <x:v>Citation search +19</x:v>
      </x:c>
      <x:c r="C382" t="str">
        <x:v>Evaluation feature</x:v>
      </x:c>
      <x:c r="D382" t="str">
        <x:v>Sensitivity/uncertainty analysis</x:v>
      </x:c>
    </x:row>
    <x:row r="383">
      <x:c r="A383" t="str">
        <x:v>S37</x:v>
      </x:c>
      <x:c r="B383" t="str">
        <x:v>Citation search +19</x:v>
      </x:c>
      <x:c r="C383" t="str">
        <x:v>Evaluation feature</x:v>
      </x:c>
      <x:c r="D383" t="str">
        <x:v>Calibration/validation</x:v>
      </x:c>
    </x:row>
    <x:row r="384">
      <x:c r="A384" t="str">
        <x:v>S37</x:v>
      </x:c>
      <x:c r="B384" t="str">
        <x:v>Citation search +19</x:v>
      </x:c>
      <x:c r="C384" t="str">
        <x:v>Limitation category</x:v>
      </x:c>
      <x:c r="D384" t="str">
        <x:v>Uncertainty</x:v>
      </x:c>
    </x:row>
    <x:row r="385">
      <x:c r="A385" t="str">
        <x:v>S37</x:v>
      </x:c>
      <x:c r="B385" t="str">
        <x:v>Citation search +19</x:v>
      </x:c>
      <x:c r="C385" t="str">
        <x:v>Limitation category</x:v>
      </x:c>
      <x:c r="D385" t="str">
        <x:v>Environmental modelling</x:v>
      </x:c>
    </x:row>
    <x:row r="386">
      <x:c r="A386" t="str">
        <x:v>S37</x:v>
      </x:c>
      <x:c r="B386" t="str">
        <x:v>Citation search +19</x:v>
      </x:c>
      <x:c r="C386" t="str">
        <x:v>Limitation category</x:v>
      </x:c>
      <x:c r="D386" t="str">
        <x:v>Real-world validation</x:v>
      </x:c>
    </x:row>
    <x:row r="387">
      <x:c r="A387" t="str">
        <x:v>S38</x:v>
      </x:c>
      <x:c r="B387" t="str">
        <x:v>Citation search +19</x:v>
      </x:c>
      <x:c r="C387" t="str">
        <x:v>Agent paradigm</x:v>
      </x:c>
      <x:c r="D387" t="str">
        <x:v>Rule-based</x:v>
      </x:c>
    </x:row>
    <x:row r="388">
      <x:c r="A388" t="str">
        <x:v>S38</x:v>
      </x:c>
      <x:c r="B388" t="str">
        <x:v>Citation search +19</x:v>
      </x:c>
      <x:c r="C388" t="str">
        <x:v>Interaction type</x:v>
      </x:c>
      <x:c r="D388" t="str">
        <x:v>Communication</x:v>
      </x:c>
    </x:row>
    <x:row r="389">
      <x:c r="A389" t="str">
        <x:v>S38</x:v>
      </x:c>
      <x:c r="B389" t="str">
        <x:v>Citation search +19</x:v>
      </x:c>
      <x:c r="C389" t="str">
        <x:v>Interaction type</x:v>
      </x:c>
      <x:c r="D389" t="str">
        <x:v>Information sharing</x:v>
      </x:c>
    </x:row>
    <x:row r="390">
      <x:c r="A390" t="str">
        <x:v>S38</x:v>
      </x:c>
      <x:c r="B390" t="str">
        <x:v>Citation search +19</x:v>
      </x:c>
      <x:c r="C390" t="str">
        <x:v>Interaction type</x:v>
      </x:c>
      <x:c r="D390" t="str">
        <x:v>Cooperation</x:v>
      </x:c>
    </x:row>
    <x:row r="391">
      <x:c r="A391" t="str">
        <x:v>S38</x:v>
      </x:c>
      <x:c r="B391" t="str">
        <x:v>Citation search +19</x:v>
      </x:c>
      <x:c r="C391" t="str">
        <x:v>Interaction type</x:v>
      </x:c>
      <x:c r="D391" t="str">
        <x:v>Coordination</x:v>
      </x:c>
    </x:row>
    <x:row r="392">
      <x:c r="A392" t="str">
        <x:v>S38</x:v>
      </x:c>
      <x:c r="B392" t="str">
        <x:v>Citation search +19</x:v>
      </x:c>
      <x:c r="C392" t="str">
        <x:v>Evaluation feature</x:v>
      </x:c>
      <x:c r="D392" t="str">
        <x:v>Simulation</x:v>
      </x:c>
    </x:row>
    <x:row r="393">
      <x:c r="A393" t="str">
        <x:v>S38</x:v>
      </x:c>
      <x:c r="B393" t="str">
        <x:v>Citation search +19</x:v>
      </x:c>
      <x:c r="C393" t="str">
        <x:v>Evaluation feature</x:v>
      </x:c>
      <x:c r="D393" t="str">
        <x:v>Case study</x:v>
      </x:c>
    </x:row>
    <x:row r="394">
      <x:c r="A394" t="str">
        <x:v>S38</x:v>
      </x:c>
      <x:c r="B394" t="str">
        <x:v>Citation search +19</x:v>
      </x:c>
      <x:c r="C394" t="str">
        <x:v>Limitation category</x:v>
      </x:c>
      <x:c r="D394" t="str">
        <x:v>Real-world validation</x:v>
      </x:c>
    </x:row>
    <x:row r="395">
      <x:c r="A395" t="str">
        <x:v>S38</x:v>
      </x:c>
      <x:c r="B395" t="str">
        <x:v>Citation search +19</x:v>
      </x:c>
      <x:c r="C395" t="str">
        <x:v>Limitation category</x:v>
      </x:c>
      <x:c r="D395" t="str">
        <x:v>Uncertainty</x:v>
      </x:c>
    </x:row>
    <x:row r="396">
      <x:c r="A396" t="str">
        <x:v>S38</x:v>
      </x:c>
      <x:c r="B396" t="str">
        <x:v>Citation search +19</x:v>
      </x:c>
      <x:c r="C396" t="str">
        <x:v>Limitation category</x:v>
      </x:c>
      <x:c r="D396" t="str">
        <x:v>Adoption/usability</x:v>
      </x:c>
    </x:row>
    <x:row r="397">
      <x:c r="A397" t="str">
        <x:v>S39</x:v>
      </x:c>
      <x:c r="B397" t="str">
        <x:v>Citation search +19</x:v>
      </x:c>
      <x:c r="C397" t="str">
        <x:v>Agent paradigm</x:v>
      </x:c>
      <x:c r="D397" t="str">
        <x:v>Rule-based</x:v>
      </x:c>
    </x:row>
    <x:row r="398">
      <x:c r="A398" t="str">
        <x:v>S39</x:v>
      </x:c>
      <x:c r="B398" t="str">
        <x:v>Citation search +19</x:v>
      </x:c>
      <x:c r="C398" t="str">
        <x:v>Interaction type</x:v>
      </x:c>
      <x:c r="D398" t="str">
        <x:v>Competition</x:v>
      </x:c>
    </x:row>
    <x:row r="399">
      <x:c r="A399" t="str">
        <x:v>S39</x:v>
      </x:c>
      <x:c r="B399" t="str">
        <x:v>Citation search +19</x:v>
      </x:c>
      <x:c r="C399" t="str">
        <x:v>Interaction type</x:v>
      </x:c>
      <x:c r="D399" t="str">
        <x:v>Coordination</x:v>
      </x:c>
    </x:row>
    <x:row r="400">
      <x:c r="A400" t="str">
        <x:v>S39</x:v>
      </x:c>
      <x:c r="B400" t="str">
        <x:v>Citation search +19</x:v>
      </x:c>
      <x:c r="C400" t="str">
        <x:v>Evaluation feature</x:v>
      </x:c>
      <x:c r="D400" t="str">
        <x:v>Simulation</x:v>
      </x:c>
    </x:row>
    <x:row r="401">
      <x:c r="A401" t="str">
        <x:v>S39</x:v>
      </x:c>
      <x:c r="B401" t="str">
        <x:v>Citation search +19</x:v>
      </x:c>
      <x:c r="C401" t="str">
        <x:v>Evaluation feature</x:v>
      </x:c>
      <x:c r="D401" t="str">
        <x:v>Case study</x:v>
      </x:c>
    </x:row>
    <x:row r="402">
      <x:c r="A402" t="str">
        <x:v>S39</x:v>
      </x:c>
      <x:c r="B402" t="str">
        <x:v>Citation search +19</x:v>
      </x:c>
      <x:c r="C402" t="str">
        <x:v>Evaluation feature</x:v>
      </x:c>
      <x:c r="D402" t="str">
        <x:v>Sensitivity/uncertainty analysis</x:v>
      </x:c>
    </x:row>
    <x:row r="403">
      <x:c r="A403" t="str">
        <x:v>S39</x:v>
      </x:c>
      <x:c r="B403" t="str">
        <x:v>Citation search +19</x:v>
      </x:c>
      <x:c r="C403" t="str">
        <x:v>Limitation category</x:v>
      </x:c>
      <x:c r="D403" t="str">
        <x:v>Environmental modelling</x:v>
      </x:c>
    </x:row>
    <x:row r="404">
      <x:c r="A404" t="str">
        <x:v>S39</x:v>
      </x:c>
      <x:c r="B404" t="str">
        <x:v>Citation search +19</x:v>
      </x:c>
      <x:c r="C404" t="str">
        <x:v>Limitation category</x:v>
      </x:c>
      <x:c r="D404" t="str">
        <x:v>Uncertainty</x:v>
      </x:c>
    </x:row>
    <x:row r="405">
      <x:c r="A405" t="str">
        <x:v>S39</x:v>
      </x:c>
      <x:c r="B405" t="str">
        <x:v>Citation search +19</x:v>
      </x:c>
      <x:c r="C405" t="str">
        <x:v>Limitation category</x:v>
      </x:c>
      <x:c r="D405" t="str">
        <x:v>Real-world validation</x:v>
      </x:c>
    </x:row>
    <x:row r="406">
      <x:c r="A406" t="str">
        <x:v>S40</x:v>
      </x:c>
      <x:c r="B406" t="str">
        <x:v>Citation search +19</x:v>
      </x:c>
      <x:c r="C406" t="str">
        <x:v>Agent paradigm</x:v>
      </x:c>
      <x:c r="D406" t="str">
        <x:v>Utility-based</x:v>
      </x:c>
    </x:row>
    <x:row r="407">
      <x:c r="A407" t="str">
        <x:v>S40</x:v>
      </x:c>
      <x:c r="B407" t="str">
        <x:v>Citation search +19</x:v>
      </x:c>
      <x:c r="C407" t="str">
        <x:v>Agent paradigm</x:v>
      </x:c>
      <x:c r="D407" t="str">
        <x:v>Learning-based</x:v>
      </x:c>
    </x:row>
    <x:row r="408">
      <x:c r="A408" t="str">
        <x:v>S40</x:v>
      </x:c>
      <x:c r="B408" t="str">
        <x:v>Citation search +19</x:v>
      </x:c>
      <x:c r="C408" t="str">
        <x:v>Interaction type</x:v>
      </x:c>
      <x:c r="D408" t="str">
        <x:v>Communication</x:v>
      </x:c>
    </x:row>
    <x:row r="409">
      <x:c r="A409" t="str">
        <x:v>S40</x:v>
      </x:c>
      <x:c r="B409" t="str">
        <x:v>Citation search +19</x:v>
      </x:c>
      <x:c r="C409" t="str">
        <x:v>Interaction type</x:v>
      </x:c>
      <x:c r="D409" t="str">
        <x:v>Information sharing</x:v>
      </x:c>
    </x:row>
    <x:row r="410">
      <x:c r="A410" t="str">
        <x:v>S40</x:v>
      </x:c>
      <x:c r="B410" t="str">
        <x:v>Citation search +19</x:v>
      </x:c>
      <x:c r="C410" t="str">
        <x:v>Evaluation feature</x:v>
      </x:c>
      <x:c r="D410" t="str">
        <x:v>Simulation</x:v>
      </x:c>
    </x:row>
    <x:row r="411">
      <x:c r="A411" t="str">
        <x:v>S40</x:v>
      </x:c>
      <x:c r="B411" t="str">
        <x:v>Citation search +19</x:v>
      </x:c>
      <x:c r="C411" t="str">
        <x:v>Evaluation feature</x:v>
      </x:c>
      <x:c r="D411" t="str">
        <x:v>Case study</x:v>
      </x:c>
    </x:row>
    <x:row r="412">
      <x:c r="A412" t="str">
        <x:v>S40</x:v>
      </x:c>
      <x:c r="B412" t="str">
        <x:v>Citation search +19</x:v>
      </x:c>
      <x:c r="C412" t="str">
        <x:v>Evaluation feature</x:v>
      </x:c>
      <x:c r="D412" t="str">
        <x:v>Comparative evaluation/experiment</x:v>
      </x:c>
    </x:row>
    <x:row r="413">
      <x:c r="A413" t="str">
        <x:v>S40</x:v>
      </x:c>
      <x:c r="B413" t="str">
        <x:v>Citation search +19</x:v>
      </x:c>
      <x:c r="C413" t="str">
        <x:v>Evaluation feature</x:v>
      </x:c>
      <x:c r="D413" t="str">
        <x:v>Sensitivity/uncertainty analysis</x:v>
      </x:c>
    </x:row>
    <x:row r="414">
      <x:c r="A414" t="str">
        <x:v>S40</x:v>
      </x:c>
      <x:c r="B414" t="str">
        <x:v>Citation search +19</x:v>
      </x:c>
      <x:c r="C414" t="str">
        <x:v>Limitation category</x:v>
      </x:c>
      <x:c r="D414" t="str">
        <x:v>Real-world validation</x:v>
      </x:c>
    </x:row>
    <x:row r="415">
      <x:c r="A415" t="str">
        <x:v>S40</x:v>
      </x:c>
      <x:c r="B415" t="str">
        <x:v>Citation search +19</x:v>
      </x:c>
      <x:c r="C415" t="str">
        <x:v>Limitation category</x:v>
      </x:c>
      <x:c r="D415" t="str">
        <x:v>Uncertainty</x:v>
      </x:c>
    </x:row>
    <x:row r="416">
      <x:c r="A416" t="str">
        <x:v>S40</x:v>
      </x:c>
      <x:c r="B416" t="str">
        <x:v>Citation search +19</x:v>
      </x:c>
      <x:c r="C416" t="str">
        <x:v>Limitation category</x:v>
      </x:c>
      <x:c r="D416" t="str">
        <x:v>Reproducibility/data availability</x:v>
      </x:c>
    </x:row>
    <x:row r="417">
      <x:c r="A417" t="str">
        <x:v>S41</x:v>
      </x:c>
      <x:c r="B417" t="str">
        <x:v>Citation search +19</x:v>
      </x:c>
      <x:c r="C417" t="str">
        <x:v>Agent paradigm</x:v>
      </x:c>
      <x:c r="D417" t="str">
        <x:v>Rule-based</x:v>
      </x:c>
    </x:row>
    <x:row r="418">
      <x:c r="A418" t="str">
        <x:v>S41</x:v>
      </x:c>
      <x:c r="B418" t="str">
        <x:v>Citation search +19</x:v>
      </x:c>
      <x:c r="C418" t="str">
        <x:v>Agent paradigm</x:v>
      </x:c>
      <x:c r="D418" t="str">
        <x:v>Utility-based</x:v>
      </x:c>
    </x:row>
    <x:row r="419">
      <x:c r="A419" t="str">
        <x:v>S41</x:v>
      </x:c>
      <x:c r="B419" t="str">
        <x:v>Citation search +19</x:v>
      </x:c>
      <x:c r="C419" t="str">
        <x:v>Interaction type</x:v>
      </x:c>
      <x:c r="D419" t="str">
        <x:v>Information sharing</x:v>
      </x:c>
    </x:row>
    <x:row r="420">
      <x:c r="A420" t="str">
        <x:v>S41</x:v>
      </x:c>
      <x:c r="B420" t="str">
        <x:v>Citation search +19</x:v>
      </x:c>
      <x:c r="C420" t="str">
        <x:v>Interaction type</x:v>
      </x:c>
      <x:c r="D420" t="str">
        <x:v>Cooperation</x:v>
      </x:c>
    </x:row>
    <x:row r="421">
      <x:c r="A421" t="str">
        <x:v>S41</x:v>
      </x:c>
      <x:c r="B421" t="str">
        <x:v>Citation search +19</x:v>
      </x:c>
      <x:c r="C421" t="str">
        <x:v>Interaction type</x:v>
      </x:c>
      <x:c r="D421" t="str">
        <x:v>Competition</x:v>
      </x:c>
    </x:row>
    <x:row r="422">
      <x:c r="A422" t="str">
        <x:v>S41</x:v>
      </x:c>
      <x:c r="B422" t="str">
        <x:v>Citation search +19</x:v>
      </x:c>
      <x:c r="C422" t="str">
        <x:v>Interaction type</x:v>
      </x:c>
      <x:c r="D422" t="str">
        <x:v>Coordination</x:v>
      </x:c>
    </x:row>
    <x:row r="423">
      <x:c r="A423" t="str">
        <x:v>S41</x:v>
      </x:c>
      <x:c r="B423" t="str">
        <x:v>Citation search +19</x:v>
      </x:c>
      <x:c r="C423" t="str">
        <x:v>Evaluation feature</x:v>
      </x:c>
      <x:c r="D423" t="str">
        <x:v>Simulation</x:v>
      </x:c>
    </x:row>
    <x:row r="424">
      <x:c r="A424" t="str">
        <x:v>S41</x:v>
      </x:c>
      <x:c r="B424" t="str">
        <x:v>Citation search +19</x:v>
      </x:c>
      <x:c r="C424" t="str">
        <x:v>Evaluation feature</x:v>
      </x:c>
      <x:c r="D424" t="str">
        <x:v>Case study</x:v>
      </x:c>
    </x:row>
    <x:row r="425">
      <x:c r="A425" t="str">
        <x:v>S41</x:v>
      </x:c>
      <x:c r="B425" t="str">
        <x:v>Citation search +19</x:v>
      </x:c>
      <x:c r="C425" t="str">
        <x:v>Evaluation feature</x:v>
      </x:c>
      <x:c r="D425" t="str">
        <x:v>Comparative evaluation/experiment</x:v>
      </x:c>
    </x:row>
    <x:row r="426">
      <x:c r="A426" t="str">
        <x:v>S41</x:v>
      </x:c>
      <x:c r="B426" t="str">
        <x:v>Citation search +19</x:v>
      </x:c>
      <x:c r="C426" t="str">
        <x:v>Limitation category</x:v>
      </x:c>
      <x:c r="D426" t="str">
        <x:v>Uncertainty</x:v>
      </x:c>
    </x:row>
    <x:row r="427">
      <x:c r="A427" t="str">
        <x:v>S41</x:v>
      </x:c>
      <x:c r="B427" t="str">
        <x:v>Citation search +19</x:v>
      </x:c>
      <x:c r="C427" t="str">
        <x:v>Limitation category</x:v>
      </x:c>
      <x:c r="D427" t="str">
        <x:v>Real-world validation</x:v>
      </x:c>
    </x:row>
    <x:row r="428">
      <x:c r="A428" t="str">
        <x:v>S42</x:v>
      </x:c>
      <x:c r="B428" t="str">
        <x:v>Citation search +19</x:v>
      </x:c>
      <x:c r="C428" t="str">
        <x:v>Agent paradigm</x:v>
      </x:c>
      <x:c r="D428" t="str">
        <x:v>Rule-based</x:v>
      </x:c>
    </x:row>
    <x:row r="429">
      <x:c r="A429" t="str">
        <x:v>S42</x:v>
      </x:c>
      <x:c r="B429" t="str">
        <x:v>Citation search +19</x:v>
      </x:c>
      <x:c r="C429" t="str">
        <x:v>Interaction type</x:v>
      </x:c>
      <x:c r="D429" t="str">
        <x:v>Coordination</x:v>
      </x:c>
    </x:row>
    <x:row r="430">
      <x:c r="A430" t="str">
        <x:v>S42</x:v>
      </x:c>
      <x:c r="B430" t="str">
        <x:v>Citation search +19</x:v>
      </x:c>
      <x:c r="C430" t="str">
        <x:v>Interaction type</x:v>
      </x:c>
      <x:c r="D430" t="str">
        <x:v>Information sharing</x:v>
      </x:c>
    </x:row>
    <x:row r="431">
      <x:c r="A431" t="str">
        <x:v>S42</x:v>
      </x:c>
      <x:c r="B431" t="str">
        <x:v>Citation search +19</x:v>
      </x:c>
      <x:c r="C431" t="str">
        <x:v>Evaluation feature</x:v>
      </x:c>
      <x:c r="D431" t="str">
        <x:v>Simulation</x:v>
      </x:c>
    </x:row>
    <x:row r="432">
      <x:c r="A432" t="str">
        <x:v>S42</x:v>
      </x:c>
      <x:c r="B432" t="str">
        <x:v>Citation search +19</x:v>
      </x:c>
      <x:c r="C432" t="str">
        <x:v>Evaluation feature</x:v>
      </x:c>
      <x:c r="D432" t="str">
        <x:v>Case study</x:v>
      </x:c>
    </x:row>
    <x:row r="433">
      <x:c r="A433" t="str">
        <x:v>S42</x:v>
      </x:c>
      <x:c r="B433" t="str">
        <x:v>Citation search +19</x:v>
      </x:c>
      <x:c r="C433" t="str">
        <x:v>Evaluation feature</x:v>
      </x:c>
      <x:c r="D433" t="str">
        <x:v>Comparative evaluation/experiment</x:v>
      </x:c>
    </x:row>
    <x:row r="434">
      <x:c r="A434" t="str">
        <x:v>S42</x:v>
      </x:c>
      <x:c r="B434" t="str">
        <x:v>Citation search +19</x:v>
      </x:c>
      <x:c r="C434" t="str">
        <x:v>Evaluation feature</x:v>
      </x:c>
      <x:c r="D434" t="str">
        <x:v>Calibration/validation</x:v>
      </x:c>
    </x:row>
    <x:row r="435">
      <x:c r="A435" t="str">
        <x:v>S42</x:v>
      </x:c>
      <x:c r="B435" t="str">
        <x:v>Citation search +19</x:v>
      </x:c>
      <x:c r="C435" t="str">
        <x:v>Limitation category</x:v>
      </x:c>
      <x:c r="D435" t="str">
        <x:v>Environmental modelling</x:v>
      </x:c>
    </x:row>
    <x:row r="436">
      <x:c r="A436" t="str">
        <x:v>S42</x:v>
      </x:c>
      <x:c r="B436" t="str">
        <x:v>Citation search +19</x:v>
      </x:c>
      <x:c r="C436" t="str">
        <x:v>Limitation category</x:v>
      </x:c>
      <x:c r="D436" t="str">
        <x:v>Uncertainty</x:v>
      </x:c>
    </x:row>
    <x:row r="437">
      <x:c r="A437" t="str">
        <x:v>S42</x:v>
      </x:c>
      <x:c r="B437" t="str">
        <x:v>Citation search +19</x:v>
      </x:c>
      <x:c r="C437" t="str">
        <x:v>Limitation category</x:v>
      </x:c>
      <x:c r="D437" t="str">
        <x:v>Real-world validation</x:v>
      </x:c>
    </x:row>
    <x:row r="438">
      <x:c r="A438" t="str">
        <x:v>S42</x:v>
      </x:c>
      <x:c r="B438" t="str">
        <x:v>Citation search +19</x:v>
      </x:c>
      <x:c r="C438" t="str">
        <x:v>Limitation category</x:v>
      </x:c>
      <x:c r="D438" t="str">
        <x:v>Adoption/usability</x:v>
      </x:c>
    </x:row>
    <x:row r="439">
      <x:c r="A439" t="str">
        <x:v>S43</x:v>
      </x:c>
      <x:c r="B439" t="str">
        <x:v>Citation search +19</x:v>
      </x:c>
      <x:c r="C439" t="str">
        <x:v>Agent paradigm</x:v>
      </x:c>
      <x:c r="D439" t="str">
        <x:v>Utility-based</x:v>
      </x:c>
    </x:row>
    <x:row r="440">
      <x:c r="A440" t="str">
        <x:v>S43</x:v>
      </x:c>
      <x:c r="B440" t="str">
        <x:v>Citation search +19</x:v>
      </x:c>
      <x:c r="C440" t="str">
        <x:v>Agent paradigm</x:v>
      </x:c>
      <x:c r="D440" t="str">
        <x:v>Rule-based</x:v>
      </x:c>
    </x:row>
    <x:row r="441">
      <x:c r="A441" t="str">
        <x:v>S43</x:v>
      </x:c>
      <x:c r="B441" t="str">
        <x:v>Citation search +19</x:v>
      </x:c>
      <x:c r="C441" t="str">
        <x:v>Interaction type</x:v>
      </x:c>
      <x:c r="D441" t="str">
        <x:v>Communication</x:v>
      </x:c>
    </x:row>
    <x:row r="442">
      <x:c r="A442" t="str">
        <x:v>S43</x:v>
      </x:c>
      <x:c r="B442" t="str">
        <x:v>Citation search +19</x:v>
      </x:c>
      <x:c r="C442" t="str">
        <x:v>Interaction type</x:v>
      </x:c>
      <x:c r="D442" t="str">
        <x:v>Information sharing</x:v>
      </x:c>
    </x:row>
    <x:row r="443">
      <x:c r="A443" t="str">
        <x:v>S43</x:v>
      </x:c>
      <x:c r="B443" t="str">
        <x:v>Citation search +19</x:v>
      </x:c>
      <x:c r="C443" t="str">
        <x:v>Interaction type</x:v>
      </x:c>
      <x:c r="D443" t="str">
        <x:v>Competition</x:v>
      </x:c>
    </x:row>
    <x:row r="444">
      <x:c r="A444" t="str">
        <x:v>S43</x:v>
      </x:c>
      <x:c r="B444" t="str">
        <x:v>Citation search +19</x:v>
      </x:c>
      <x:c r="C444" t="str">
        <x:v>Interaction type</x:v>
      </x:c>
      <x:c r="D444" t="str">
        <x:v>Coordination</x:v>
      </x:c>
    </x:row>
    <x:row r="445">
      <x:c r="A445" t="str">
        <x:v>S43</x:v>
      </x:c>
      <x:c r="B445" t="str">
        <x:v>Citation search +19</x:v>
      </x:c>
      <x:c r="C445" t="str">
        <x:v>Evaluation feature</x:v>
      </x:c>
      <x:c r="D445" t="str">
        <x:v>Simulation</x:v>
      </x:c>
    </x:row>
    <x:row r="446">
      <x:c r="A446" t="str">
        <x:v>S43</x:v>
      </x:c>
      <x:c r="B446" t="str">
        <x:v>Citation search +19</x:v>
      </x:c>
      <x:c r="C446" t="str">
        <x:v>Evaluation feature</x:v>
      </x:c>
      <x:c r="D446" t="str">
        <x:v>Case study</x:v>
      </x:c>
    </x:row>
    <x:row r="447">
      <x:c r="A447" t="str">
        <x:v>S43</x:v>
      </x:c>
      <x:c r="B447" t="str">
        <x:v>Citation search +19</x:v>
      </x:c>
      <x:c r="C447" t="str">
        <x:v>Evaluation feature</x:v>
      </x:c>
      <x:c r="D447" t="str">
        <x:v>Comparative evaluation/experiment</x:v>
      </x:c>
    </x:row>
    <x:row r="448">
      <x:c r="A448" t="str">
        <x:v>S43</x:v>
      </x:c>
      <x:c r="B448" t="str">
        <x:v>Citation search +19</x:v>
      </x:c>
      <x:c r="C448" t="str">
        <x:v>Evaluation feature</x:v>
      </x:c>
      <x:c r="D448" t="str">
        <x:v>Calibration/validation</x:v>
      </x:c>
    </x:row>
    <x:row r="449">
      <x:c r="A449" t="str">
        <x:v>S43</x:v>
      </x:c>
      <x:c r="B449" t="str">
        <x:v>Citation search +19</x:v>
      </x:c>
      <x:c r="C449" t="str">
        <x:v>Evaluation feature</x:v>
      </x:c>
      <x:c r="D449" t="str">
        <x:v>Policy/scenario evaluation</x:v>
      </x:c>
    </x:row>
    <x:row r="450">
      <x:c r="A450" t="str">
        <x:v>S43</x:v>
      </x:c>
      <x:c r="B450" t="str">
        <x:v>Citation search +19</x:v>
      </x:c>
      <x:c r="C450" t="str">
        <x:v>Limitation category</x:v>
      </x:c>
      <x:c r="D450" t="str">
        <x:v>Uncertainty</x:v>
      </x:c>
    </x:row>
    <x:row r="451">
      <x:c r="A451" t="str">
        <x:v>S43</x:v>
      </x:c>
      <x:c r="B451" t="str">
        <x:v>Citation search +19</x:v>
      </x:c>
      <x:c r="C451" t="str">
        <x:v>Limitation category</x:v>
      </x:c>
      <x:c r="D451" t="str">
        <x:v>Real-world validation</x:v>
      </x:c>
    </x:row>
    <x:row r="452">
      <x:c r="A452" t="str">
        <x:v>S43</x:v>
      </x:c>
      <x:c r="B452" t="str">
        <x:v>Citation search +19</x:v>
      </x:c>
      <x:c r="C452" t="str">
        <x:v>Limitation category</x:v>
      </x:c>
      <x:c r="D452" t="str">
        <x:v>Environmental modelling</x:v>
      </x:c>
    </x:row>
    <x:row r="453">
      <x:c r="A453" t="str">
        <x:v>S44</x:v>
      </x:c>
      <x:c r="B453" t="str">
        <x:v>Citation search +19</x:v>
      </x:c>
      <x:c r="C453" t="str">
        <x:v>Agent paradigm</x:v>
      </x:c>
      <x:c r="D453" t="str">
        <x:v>Rule-based</x:v>
      </x:c>
    </x:row>
    <x:row r="454">
      <x:c r="A454" t="str">
        <x:v>S44</x:v>
      </x:c>
      <x:c r="B454" t="str">
        <x:v>Citation search +19</x:v>
      </x:c>
      <x:c r="C454" t="str">
        <x:v>Interaction type</x:v>
      </x:c>
      <x:c r="D454" t="str">
        <x:v>Communication</x:v>
      </x:c>
    </x:row>
    <x:row r="455">
      <x:c r="A455" t="str">
        <x:v>S44</x:v>
      </x:c>
      <x:c r="B455" t="str">
        <x:v>Citation search +19</x:v>
      </x:c>
      <x:c r="C455" t="str">
        <x:v>Interaction type</x:v>
      </x:c>
      <x:c r="D455" t="str">
        <x:v>Information sharing</x:v>
      </x:c>
    </x:row>
    <x:row r="456">
      <x:c r="A456" t="str">
        <x:v>S44</x:v>
      </x:c>
      <x:c r="B456" t="str">
        <x:v>Citation search +19</x:v>
      </x:c>
      <x:c r="C456" t="str">
        <x:v>Interaction type</x:v>
      </x:c>
      <x:c r="D456" t="str">
        <x:v>Cooperation</x:v>
      </x:c>
    </x:row>
    <x:row r="457">
      <x:c r="A457" t="str">
        <x:v>S44</x:v>
      </x:c>
      <x:c r="B457" t="str">
        <x:v>Citation search +19</x:v>
      </x:c>
      <x:c r="C457" t="str">
        <x:v>Interaction type</x:v>
      </x:c>
      <x:c r="D457" t="str">
        <x:v>Competition</x:v>
      </x:c>
    </x:row>
    <x:row r="458">
      <x:c r="A458" t="str">
        <x:v>S44</x:v>
      </x:c>
      <x:c r="B458" t="str">
        <x:v>Citation search +19</x:v>
      </x:c>
      <x:c r="C458" t="str">
        <x:v>Interaction type</x:v>
      </x:c>
      <x:c r="D458" t="str">
        <x:v>Coordination</x:v>
      </x:c>
    </x:row>
    <x:row r="459">
      <x:c r="A459" t="str">
        <x:v>S44</x:v>
      </x:c>
      <x:c r="B459" t="str">
        <x:v>Citation search +19</x:v>
      </x:c>
      <x:c r="C459" t="str">
        <x:v>Evaluation feature</x:v>
      </x:c>
      <x:c r="D459" t="str">
        <x:v>Simulation</x:v>
      </x:c>
    </x:row>
    <x:row r="460">
      <x:c r="A460" t="str">
        <x:v>S44</x:v>
      </x:c>
      <x:c r="B460" t="str">
        <x:v>Citation search +19</x:v>
      </x:c>
      <x:c r="C460" t="str">
        <x:v>Evaluation feature</x:v>
      </x:c>
      <x:c r="D460" t="str">
        <x:v>Case study</x:v>
      </x:c>
    </x:row>
    <x:row r="461">
      <x:c r="A461" t="str">
        <x:v>S44</x:v>
      </x:c>
      <x:c r="B461" t="str">
        <x:v>Citation search +19</x:v>
      </x:c>
      <x:c r="C461" t="str">
        <x:v>Evaluation feature</x:v>
      </x:c>
      <x:c r="D461" t="str">
        <x:v>Sensitivity/uncertainty analysis</x:v>
      </x:c>
    </x:row>
    <x:row r="462">
      <x:c r="A462" t="str">
        <x:v>S44</x:v>
      </x:c>
      <x:c r="B462" t="str">
        <x:v>Citation search +19</x:v>
      </x:c>
      <x:c r="C462" t="str">
        <x:v>Evaluation feature</x:v>
      </x:c>
      <x:c r="D462" t="str">
        <x:v>Calibration/validation</x:v>
      </x:c>
    </x:row>
    <x:row r="463">
      <x:c r="A463" t="str">
        <x:v>S44</x:v>
      </x:c>
      <x:c r="B463" t="str">
        <x:v>Citation search +19</x:v>
      </x:c>
      <x:c r="C463" t="str">
        <x:v>Limitation category</x:v>
      </x:c>
      <x:c r="D463" t="str">
        <x:v>Uncertainty</x:v>
      </x:c>
    </x:row>
    <x:row r="464">
      <x:c r="A464" t="str">
        <x:v>S44</x:v>
      </x:c>
      <x:c r="B464" t="str">
        <x:v>Citation search +19</x:v>
      </x:c>
      <x:c r="C464" t="str">
        <x:v>Limitation category</x:v>
      </x:c>
      <x:c r="D464" t="str">
        <x:v>Real-world validation</x:v>
      </x:c>
    </x:row>
    <x:row r="465">
      <x:c r="A465" t="str">
        <x:v>S44</x:v>
      </x:c>
      <x:c r="B465" t="str">
        <x:v>Citation search +19</x:v>
      </x:c>
      <x:c r="C465" t="str">
        <x:v>Limitation category</x:v>
      </x:c>
      <x:c r="D465" t="str">
        <x:v>Environmental modelling</x:v>
      </x:c>
    </x:row>
    <x:row r="466">
      <x:c r="A466" t="str">
        <x:v>S45</x:v>
      </x:c>
      <x:c r="B466" t="str">
        <x:v>Citation search +19</x:v>
      </x:c>
      <x:c r="C466" t="str">
        <x:v>Agent paradigm</x:v>
      </x:c>
      <x:c r="D466" t="str">
        <x:v>Rule-based</x:v>
      </x:c>
    </x:row>
    <x:row r="467">
      <x:c r="A467" t="str">
        <x:v>S45</x:v>
      </x:c>
      <x:c r="B467" t="str">
        <x:v>Citation search +19</x:v>
      </x:c>
      <x:c r="C467" t="str">
        <x:v>Agent paradigm</x:v>
      </x:c>
      <x:c r="D467" t="str">
        <x:v>Utility-based</x:v>
      </x:c>
    </x:row>
    <x:row r="468">
      <x:c r="A468" t="str">
        <x:v>S45</x:v>
      </x:c>
      <x:c r="B468" t="str">
        <x:v>Citation search +19</x:v>
      </x:c>
      <x:c r="C468" t="str">
        <x:v>Interaction type</x:v>
      </x:c>
      <x:c r="D468" t="str">
        <x:v>Communication</x:v>
      </x:c>
    </x:row>
    <x:row r="469">
      <x:c r="A469" t="str">
        <x:v>S45</x:v>
      </x:c>
      <x:c r="B469" t="str">
        <x:v>Citation search +19</x:v>
      </x:c>
      <x:c r="C469" t="str">
        <x:v>Interaction type</x:v>
      </x:c>
      <x:c r="D469" t="str">
        <x:v>Information sharing</x:v>
      </x:c>
    </x:row>
    <x:row r="470">
      <x:c r="A470" t="str">
        <x:v>S45</x:v>
      </x:c>
      <x:c r="B470" t="str">
        <x:v>Citation search +19</x:v>
      </x:c>
      <x:c r="C470" t="str">
        <x:v>Interaction type</x:v>
      </x:c>
      <x:c r="D470" t="str">
        <x:v>Cooperation</x:v>
      </x:c>
    </x:row>
    <x:row r="471">
      <x:c r="A471" t="str">
        <x:v>S45</x:v>
      </x:c>
      <x:c r="B471" t="str">
        <x:v>Citation search +19</x:v>
      </x:c>
      <x:c r="C471" t="str">
        <x:v>Interaction type</x:v>
      </x:c>
      <x:c r="D471" t="str">
        <x:v>Competition</x:v>
      </x:c>
    </x:row>
    <x:row r="472">
      <x:c r="A472" t="str">
        <x:v>S45</x:v>
      </x:c>
      <x:c r="B472" t="str">
        <x:v>Citation search +19</x:v>
      </x:c>
      <x:c r="C472" t="str">
        <x:v>Interaction type</x:v>
      </x:c>
      <x:c r="D472" t="str">
        <x:v>Negotiation</x:v>
      </x:c>
    </x:row>
    <x:row r="473">
      <x:c r="A473" t="str">
        <x:v>S45</x:v>
      </x:c>
      <x:c r="B473" t="str">
        <x:v>Citation search +19</x:v>
      </x:c>
      <x:c r="C473" t="str">
        <x:v>Interaction type</x:v>
      </x:c>
      <x:c r="D473" t="str">
        <x:v>Coordination</x:v>
      </x:c>
    </x:row>
    <x:row r="474">
      <x:c r="A474" t="str">
        <x:v>S45</x:v>
      </x:c>
      <x:c r="B474" t="str">
        <x:v>Citation search +19</x:v>
      </x:c>
      <x:c r="C474" t="str">
        <x:v>Evaluation feature</x:v>
      </x:c>
      <x:c r="D474" t="str">
        <x:v>Simulation</x:v>
      </x:c>
    </x:row>
    <x:row r="475">
      <x:c r="A475" t="str">
        <x:v>S45</x:v>
      </x:c>
      <x:c r="B475" t="str">
        <x:v>Citation search +19</x:v>
      </x:c>
      <x:c r="C475" t="str">
        <x:v>Evaluation feature</x:v>
      </x:c>
      <x:c r="D475" t="str">
        <x:v>Case study</x:v>
      </x:c>
    </x:row>
    <x:row r="476">
      <x:c r="A476" t="str">
        <x:v>S45</x:v>
      </x:c>
      <x:c r="B476" t="str">
        <x:v>Citation search +19</x:v>
      </x:c>
      <x:c r="C476" t="str">
        <x:v>Evaluation feature</x:v>
      </x:c>
      <x:c r="D476" t="str">
        <x:v>Calibration/validation</x:v>
      </x:c>
    </x:row>
    <x:row r="477">
      <x:c r="A477" t="str">
        <x:v>S45</x:v>
      </x:c>
      <x:c r="B477" t="str">
        <x:v>Citation search +19</x:v>
      </x:c>
      <x:c r="C477" t="str">
        <x:v>Limitation category</x:v>
      </x:c>
      <x:c r="D477" t="str">
        <x:v>Real-world validation</x:v>
      </x:c>
    </x:row>
    <x:row r="478">
      <x:c r="A478" t="str">
        <x:v>S45</x:v>
      </x:c>
      <x:c r="B478" t="str">
        <x:v>Citation search +19</x:v>
      </x:c>
      <x:c r="C478" t="str">
        <x:v>Limitation category</x:v>
      </x:c>
      <x:c r="D478" t="str">
        <x:v>Uncertainty</x:v>
      </x:c>
    </x:row>
    <x:row r="479">
      <x:c r="A479" t="str">
        <x:v>S45</x:v>
      </x:c>
      <x:c r="B479" t="str">
        <x:v>Citation search +19</x:v>
      </x:c>
      <x:c r="C479" t="str">
        <x:v>Limitation category</x:v>
      </x:c>
      <x:c r="D479" t="str">
        <x:v>Environmental modelling</x:v>
      </x:c>
    </x:row>
    <x:row r="480">
      <x:c r="A480" t="str">
        <x:v>S46</x:v>
      </x:c>
      <x:c r="B480" t="str">
        <x:v>Citation search +19</x:v>
      </x:c>
      <x:c r="C480" t="str">
        <x:v>Agent paradigm</x:v>
      </x:c>
      <x:c r="D480" t="str">
        <x:v>Rule-based</x:v>
      </x:c>
    </x:row>
    <x:row r="481">
      <x:c r="A481" t="str">
        <x:v>S46</x:v>
      </x:c>
      <x:c r="B481" t="str">
        <x:v>Citation search +19</x:v>
      </x:c>
      <x:c r="C481" t="str">
        <x:v>Interaction type</x:v>
      </x:c>
      <x:c r="D481" t="str">
        <x:v>Communication</x:v>
      </x:c>
    </x:row>
    <x:row r="482">
      <x:c r="A482" t="str">
        <x:v>S46</x:v>
      </x:c>
      <x:c r="B482" t="str">
        <x:v>Citation search +19</x:v>
      </x:c>
      <x:c r="C482" t="str">
        <x:v>Interaction type</x:v>
      </x:c>
      <x:c r="D482" t="str">
        <x:v>Information sharing</x:v>
      </x:c>
    </x:row>
    <x:row r="483">
      <x:c r="A483" t="str">
        <x:v>S46</x:v>
      </x:c>
      <x:c r="B483" t="str">
        <x:v>Citation search +19</x:v>
      </x:c>
      <x:c r="C483" t="str">
        <x:v>Interaction type</x:v>
      </x:c>
      <x:c r="D483" t="str">
        <x:v>Cooperation</x:v>
      </x:c>
    </x:row>
    <x:row r="484">
      <x:c r="A484" t="str">
        <x:v>S46</x:v>
      </x:c>
      <x:c r="B484" t="str">
        <x:v>Citation search +19</x:v>
      </x:c>
      <x:c r="C484" t="str">
        <x:v>Interaction type</x:v>
      </x:c>
      <x:c r="D484" t="str">
        <x:v>Competition</x:v>
      </x:c>
    </x:row>
    <x:row r="485">
      <x:c r="A485" t="str">
        <x:v>S46</x:v>
      </x:c>
      <x:c r="B485" t="str">
        <x:v>Citation search +19</x:v>
      </x:c>
      <x:c r="C485" t="str">
        <x:v>Interaction type</x:v>
      </x:c>
      <x:c r="D485" t="str">
        <x:v>Coordination</x:v>
      </x:c>
    </x:row>
    <x:row r="486">
      <x:c r="A486" t="str">
        <x:v>S46</x:v>
      </x:c>
      <x:c r="B486" t="str">
        <x:v>Citation search +19</x:v>
      </x:c>
      <x:c r="C486" t="str">
        <x:v>Evaluation feature</x:v>
      </x:c>
      <x:c r="D486" t="str">
        <x:v>Simulation</x:v>
      </x:c>
    </x:row>
    <x:row r="487">
      <x:c r="A487" t="str">
        <x:v>S46</x:v>
      </x:c>
      <x:c r="B487" t="str">
        <x:v>Citation search +19</x:v>
      </x:c>
      <x:c r="C487" t="str">
        <x:v>Evaluation feature</x:v>
      </x:c>
      <x:c r="D487" t="str">
        <x:v>Case study</x:v>
      </x:c>
    </x:row>
    <x:row r="488">
      <x:c r="A488" t="str">
        <x:v>S46</x:v>
      </x:c>
      <x:c r="B488" t="str">
        <x:v>Citation search +19</x:v>
      </x:c>
      <x:c r="C488" t="str">
        <x:v>Limitation category</x:v>
      </x:c>
      <x:c r="D488" t="str">
        <x:v>Real-world validation</x:v>
      </x:c>
    </x:row>
    <x:row r="489">
      <x:c r="A489" t="str">
        <x:v>S46</x:v>
      </x:c>
      <x:c r="B489" t="str">
        <x:v>Citation search +19</x:v>
      </x:c>
      <x:c r="C489" t="str">
        <x:v>Limitation category</x:v>
      </x:c>
      <x:c r="D489" t="str">
        <x:v>Uncertainty</x:v>
      </x:c>
    </x:row>
    <x:row r="490">
      <x:c r="A490" t="str">
        <x:v>S46</x:v>
      </x:c>
      <x:c r="B490" t="str">
        <x:v>Citation search +19</x:v>
      </x:c>
      <x:c r="C490" t="str">
        <x:v>Limitation category</x:v>
      </x:c>
      <x:c r="D490" t="str">
        <x:v>Reproducibility/data availability</x:v>
      </x:c>
    </x:row>
    <x:row r="491">
      <x:c r="A491" t="str">
        <x:v>S47</x:v>
      </x:c>
      <x:c r="B491" t="str">
        <x:v>Citation search +19</x:v>
      </x:c>
      <x:c r="C491" t="str">
        <x:v>Agent paradigm</x:v>
      </x:c>
      <x:c r="D491" t="str">
        <x:v>Utility-based</x:v>
      </x:c>
    </x:row>
    <x:row r="492">
      <x:c r="A492" t="str">
        <x:v>S47</x:v>
      </x:c>
      <x:c r="B492" t="str">
        <x:v>Citation search +19</x:v>
      </x:c>
      <x:c r="C492" t="str">
        <x:v>Agent paradigm</x:v>
      </x:c>
      <x:c r="D492" t="str">
        <x:v>Rule-based</x:v>
      </x:c>
    </x:row>
    <x:row r="493">
      <x:c r="A493" t="str">
        <x:v>S47</x:v>
      </x:c>
      <x:c r="B493" t="str">
        <x:v>Citation search +19</x:v>
      </x:c>
      <x:c r="C493" t="str">
        <x:v>Interaction type</x:v>
      </x:c>
      <x:c r="D493" t="str">
        <x:v>Information sharing</x:v>
      </x:c>
    </x:row>
    <x:row r="494">
      <x:c r="A494" t="str">
        <x:v>S47</x:v>
      </x:c>
      <x:c r="B494" t="str">
        <x:v>Citation search +19</x:v>
      </x:c>
      <x:c r="C494" t="str">
        <x:v>Evaluation feature</x:v>
      </x:c>
      <x:c r="D494" t="str">
        <x:v>Simulation</x:v>
      </x:c>
    </x:row>
    <x:row r="495">
      <x:c r="A495" t="str">
        <x:v>S47</x:v>
      </x:c>
      <x:c r="B495" t="str">
        <x:v>Citation search +19</x:v>
      </x:c>
      <x:c r="C495" t="str">
        <x:v>Evaluation feature</x:v>
      </x:c>
      <x:c r="D495" t="str">
        <x:v>Comparative evaluation/experiment</x:v>
      </x:c>
    </x:row>
    <x:row r="496">
      <x:c r="A496" t="str">
        <x:v>S47</x:v>
      </x:c>
      <x:c r="B496" t="str">
        <x:v>Citation search +19</x:v>
      </x:c>
      <x:c r="C496" t="str">
        <x:v>Evaluation feature</x:v>
      </x:c>
      <x:c r="D496" t="str">
        <x:v>Calibration/validation</x:v>
      </x:c>
    </x:row>
    <x:row r="497">
      <x:c r="A497" t="str">
        <x:v>S47</x:v>
      </x:c>
      <x:c r="B497" t="str">
        <x:v>Citation search +19</x:v>
      </x:c>
      <x:c r="C497" t="str">
        <x:v>Limitation category</x:v>
      </x:c>
      <x:c r="D497" t="str">
        <x:v>Uncertainty</x:v>
      </x:c>
    </x:row>
    <x:row r="498">
      <x:c r="A498" t="str">
        <x:v>S47</x:v>
      </x:c>
      <x:c r="B498" t="str">
        <x:v>Citation search +19</x:v>
      </x:c>
      <x:c r="C498" t="str">
        <x:v>Limitation category</x:v>
      </x:c>
      <x:c r="D498" t="str">
        <x:v>Real-world validation</x:v>
      </x:c>
    </x:row>
    <x:row r="499">
      <x:c r="A499" t="str">
        <x:v>S47</x:v>
      </x:c>
      <x:c r="B499" t="str">
        <x:v>Citation search +19</x:v>
      </x:c>
      <x:c r="C499" t="str">
        <x:v>Limitation category</x:v>
      </x:c>
      <x:c r="D499" t="str">
        <x:v>Environmental modelling</x:v>
      </x:c>
    </x:row>
    <x:row r="500">
      <x:c r="A500" t="str">
        <x:v>S48</x:v>
      </x:c>
      <x:c r="B500" t="str">
        <x:v>Citation search +19</x:v>
      </x:c>
      <x:c r="C500" t="str">
        <x:v>Agent paradigm</x:v>
      </x:c>
      <x:c r="D500" t="str">
        <x:v>Utility-based</x:v>
      </x:c>
    </x:row>
    <x:row r="501">
      <x:c r="A501" t="str">
        <x:v>S48</x:v>
      </x:c>
      <x:c r="B501" t="str">
        <x:v>Citation search +19</x:v>
      </x:c>
      <x:c r="C501" t="str">
        <x:v>Agent paradigm</x:v>
      </x:c>
      <x:c r="D501" t="str">
        <x:v>Rule-based</x:v>
      </x:c>
    </x:row>
    <x:row r="502">
      <x:c r="A502" t="str">
        <x:v>S48</x:v>
      </x:c>
      <x:c r="B502" t="str">
        <x:v>Citation search +19</x:v>
      </x:c>
      <x:c r="C502" t="str">
        <x:v>Interaction type</x:v>
      </x:c>
      <x:c r="D502" t="str">
        <x:v>Competition</x:v>
      </x:c>
    </x:row>
    <x:row r="503">
      <x:c r="A503" t="str">
        <x:v>S48</x:v>
      </x:c>
      <x:c r="B503" t="str">
        <x:v>Citation search +19</x:v>
      </x:c>
      <x:c r="C503" t="str">
        <x:v>Interaction type</x:v>
      </x:c>
      <x:c r="D503" t="str">
        <x:v>Cooperation</x:v>
      </x:c>
    </x:row>
    <x:row r="504">
      <x:c r="A504" t="str">
        <x:v>S48</x:v>
      </x:c>
      <x:c r="B504" t="str">
        <x:v>Citation search +19</x:v>
      </x:c>
      <x:c r="C504" t="str">
        <x:v>Interaction type</x:v>
      </x:c>
      <x:c r="D504" t="str">
        <x:v>Coordination</x:v>
      </x:c>
    </x:row>
    <x:row r="505">
      <x:c r="A505" t="str">
        <x:v>S48</x:v>
      </x:c>
      <x:c r="B505" t="str">
        <x:v>Citation search +19</x:v>
      </x:c>
      <x:c r="C505" t="str">
        <x:v>Interaction type</x:v>
      </x:c>
      <x:c r="D505" t="str">
        <x:v>Information sharing</x:v>
      </x:c>
    </x:row>
    <x:row r="506">
      <x:c r="A506" t="str">
        <x:v>S48</x:v>
      </x:c>
      <x:c r="B506" t="str">
        <x:v>Citation search +19</x:v>
      </x:c>
      <x:c r="C506" t="str">
        <x:v>Evaluation feature</x:v>
      </x:c>
      <x:c r="D506" t="str">
        <x:v>Simulation</x:v>
      </x:c>
    </x:row>
    <x:row r="507">
      <x:c r="A507" t="str">
        <x:v>S48</x:v>
      </x:c>
      <x:c r="B507" t="str">
        <x:v>Citation search +19</x:v>
      </x:c>
      <x:c r="C507" t="str">
        <x:v>Evaluation feature</x:v>
      </x:c>
      <x:c r="D507" t="str">
        <x:v>Case study</x:v>
      </x:c>
    </x:row>
    <x:row r="508">
      <x:c r="A508" t="str">
        <x:v>S48</x:v>
      </x:c>
      <x:c r="B508" t="str">
        <x:v>Citation search +19</x:v>
      </x:c>
      <x:c r="C508" t="str">
        <x:v>Evaluation feature</x:v>
      </x:c>
      <x:c r="D508" t="str">
        <x:v>Comparative evaluation/experiment</x:v>
      </x:c>
    </x:row>
    <x:row r="509">
      <x:c r="A509" t="str">
        <x:v>S48</x:v>
      </x:c>
      <x:c r="B509" t="str">
        <x:v>Citation search +19</x:v>
      </x:c>
      <x:c r="C509" t="str">
        <x:v>Evaluation feature</x:v>
      </x:c>
      <x:c r="D509" t="str">
        <x:v>Sensitivity/uncertainty analysis</x:v>
      </x:c>
    </x:row>
    <x:row r="510">
      <x:c r="A510" t="str">
        <x:v>S48</x:v>
      </x:c>
      <x:c r="B510" t="str">
        <x:v>Citation search +19</x:v>
      </x:c>
      <x:c r="C510" t="str">
        <x:v>Evaluation feature</x:v>
      </x:c>
      <x:c r="D510" t="str">
        <x:v>Calibration/validation</x:v>
      </x:c>
    </x:row>
    <x:row r="511">
      <x:c r="A511" t="str">
        <x:v>S48</x:v>
      </x:c>
      <x:c r="B511" t="str">
        <x:v>Citation search +19</x:v>
      </x:c>
      <x:c r="C511" t="str">
        <x:v>Limitation category</x:v>
      </x:c>
      <x:c r="D511" t="str">
        <x:v>Uncertainty</x:v>
      </x:c>
    </x:row>
    <x:row r="512">
      <x:c r="A512" t="str">
        <x:v>S48</x:v>
      </x:c>
      <x:c r="B512" t="str">
        <x:v>Citation search +19</x:v>
      </x:c>
      <x:c r="C512" t="str">
        <x:v>Limitation category</x:v>
      </x:c>
      <x:c r="D512" t="str">
        <x:v>Real-world validation</x:v>
      </x:c>
    </x:row>
    <x:row r="513">
      <x:c r="A513" t="str">
        <x:v>S49</x:v>
      </x:c>
      <x:c r="B513" t="str">
        <x:v>Citation search +19</x:v>
      </x:c>
      <x:c r="C513" t="str">
        <x:v>Agent paradigm</x:v>
      </x:c>
      <x:c r="D513" t="str">
        <x:v>NR</x:v>
      </x:c>
    </x:row>
    <x:row r="514">
      <x:c r="A514" t="str">
        <x:v>S49</x:v>
      </x:c>
      <x:c r="B514" t="str">
        <x:v>Citation search +19</x:v>
      </x:c>
      <x:c r="C514" t="str">
        <x:v>Interaction type</x:v>
      </x:c>
      <x:c r="D514" t="str">
        <x:v>Coordination</x:v>
      </x:c>
    </x:row>
    <x:row r="515">
      <x:c r="A515" t="str">
        <x:v>S49</x:v>
      </x:c>
      <x:c r="B515" t="str">
        <x:v>Citation search +19</x:v>
      </x:c>
      <x:c r="C515" t="str">
        <x:v>Interaction type</x:v>
      </x:c>
      <x:c r="D515" t="str">
        <x:v>Task allocation</x:v>
      </x:c>
    </x:row>
    <x:row r="516">
      <x:c r="A516" t="str">
        <x:v>S49</x:v>
      </x:c>
      <x:c r="B516" t="str">
        <x:v>Citation search +19</x:v>
      </x:c>
      <x:c r="C516" t="str">
        <x:v>Interaction type</x:v>
      </x:c>
      <x:c r="D516" t="str">
        <x:v>Competition</x:v>
      </x:c>
    </x:row>
    <x:row r="517">
      <x:c r="A517" t="str">
        <x:v>S49</x:v>
      </x:c>
      <x:c r="B517" t="str">
        <x:v>Citation search +19</x:v>
      </x:c>
      <x:c r="C517" t="str">
        <x:v>Evaluation feature</x:v>
      </x:c>
      <x:c r="D517" t="str">
        <x:v>Simulation</x:v>
      </x:c>
    </x:row>
    <x:row r="518">
      <x:c r="A518" t="str">
        <x:v>S49</x:v>
      </x:c>
      <x:c r="B518" t="str">
        <x:v>Citation search +19</x:v>
      </x:c>
      <x:c r="C518" t="str">
        <x:v>Evaluation feature</x:v>
      </x:c>
      <x:c r="D518" t="str">
        <x:v>Comparative evaluation/experiment</x:v>
      </x:c>
    </x:row>
    <x:row r="519">
      <x:c r="A519" t="str">
        <x:v>S49</x:v>
      </x:c>
      <x:c r="B519" t="str">
        <x:v>Citation search +19</x:v>
      </x:c>
      <x:c r="C519" t="str">
        <x:v>Evaluation feature</x:v>
      </x:c>
      <x:c r="D519" t="str">
        <x:v>Sensitivity/uncertainty analysis</x:v>
      </x:c>
    </x:row>
    <x:row r="520">
      <x:c r="A520" t="str">
        <x:v>S49</x:v>
      </x:c>
      <x:c r="B520" t="str">
        <x:v>Citation search +19</x:v>
      </x:c>
      <x:c r="C520" t="str">
        <x:v>Limitation category</x:v>
      </x:c>
      <x:c r="D520" t="str">
        <x:v>Computational requirements</x:v>
      </x:c>
    </x:row>
    <x:row r="521">
      <x:c r="A521" t="str">
        <x:v>S49</x:v>
      </x:c>
      <x:c r="B521" t="str">
        <x:v>Citation search +19</x:v>
      </x:c>
      <x:c r="C521" t="str">
        <x:v>Limitation category</x:v>
      </x:c>
      <x:c r="D521" t="str">
        <x:v>Uncertainty</x:v>
      </x:c>
    </x:row>
    <x:row r="522">
      <x:c r="A522" t="str">
        <x:v>S49</x:v>
      </x:c>
      <x:c r="B522" t="str">
        <x:v>Citation search +19</x:v>
      </x:c>
      <x:c r="C522" t="str">
        <x:v>Limitation category</x:v>
      </x:c>
      <x:c r="D522" t="str">
        <x:v>Real-world validation</x:v>
      </x:c>
    </x:row>
    <x:row r="523">
      <x:c r="A523" t="str">
        <x:v>S50</x:v>
      </x:c>
      <x:c r="B523" t="str">
        <x:v>Citation search +19</x:v>
      </x:c>
      <x:c r="C523" t="str">
        <x:v>Agent paradigm</x:v>
      </x:c>
      <x:c r="D523" t="str">
        <x:v>NR</x:v>
      </x:c>
    </x:row>
    <x:row r="524">
      <x:c r="A524" t="str">
        <x:v>S50</x:v>
      </x:c>
      <x:c r="B524" t="str">
        <x:v>Citation search +19</x:v>
      </x:c>
      <x:c r="C524" t="str">
        <x:v>Interaction type</x:v>
      </x:c>
      <x:c r="D524" t="str">
        <x:v>Task allocation</x:v>
      </x:c>
    </x:row>
    <x:row r="525">
      <x:c r="A525" t="str">
        <x:v>S50</x:v>
      </x:c>
      <x:c r="B525" t="str">
        <x:v>Citation search +19</x:v>
      </x:c>
      <x:c r="C525" t="str">
        <x:v>Interaction type</x:v>
      </x:c>
      <x:c r="D525" t="str">
        <x:v>Coordination</x:v>
      </x:c>
    </x:row>
    <x:row r="526">
      <x:c r="A526" t="str">
        <x:v>S50</x:v>
      </x:c>
      <x:c r="B526" t="str">
        <x:v>Citation search +19</x:v>
      </x:c>
      <x:c r="C526" t="str">
        <x:v>Interaction type</x:v>
      </x:c>
      <x:c r="D526" t="str">
        <x:v>Information sharing</x:v>
      </x:c>
    </x:row>
    <x:row r="527">
      <x:c r="A527" t="str">
        <x:v>S50</x:v>
      </x:c>
      <x:c r="B527" t="str">
        <x:v>Citation search +19</x:v>
      </x:c>
      <x:c r="C527" t="str">
        <x:v>Evaluation feature</x:v>
      </x:c>
      <x:c r="D527" t="str">
        <x:v>Simulation</x:v>
      </x:c>
    </x:row>
    <x:row r="528">
      <x:c r="A528" t="str">
        <x:v>S50</x:v>
      </x:c>
      <x:c r="B528" t="str">
        <x:v>Citation search +19</x:v>
      </x:c>
      <x:c r="C528" t="str">
        <x:v>Evaluation feature</x:v>
      </x:c>
      <x:c r="D528" t="str">
        <x:v>Comparative evaluation/experiment</x:v>
      </x:c>
    </x:row>
    <x:row r="529">
      <x:c r="A529" t="str">
        <x:v>S50</x:v>
      </x:c>
      <x:c r="B529" t="str">
        <x:v>Citation search +19</x:v>
      </x:c>
      <x:c r="C529" t="str">
        <x:v>Evaluation feature</x:v>
      </x:c>
      <x:c r="D529" t="str">
        <x:v>Benchmark evaluation</x:v>
      </x:c>
    </x:row>
    <x:row r="530">
      <x:c r="A530" t="str">
        <x:v>S50</x:v>
      </x:c>
      <x:c r="B530" t="str">
        <x:v>Citation search +19</x:v>
      </x:c>
      <x:c r="C530" t="str">
        <x:v>Limitation category</x:v>
      </x:c>
      <x:c r="D530" t="str">
        <x:v>Real-world validation</x:v>
      </x:c>
    </x:row>
    <x:row r="531">
      <x:c r="A531" t="str">
        <x:v>S51</x:v>
      </x:c>
      <x:c r="B531" t="str">
        <x:v>Citation search +19</x:v>
      </x:c>
      <x:c r="C531" t="str">
        <x:v>Agent paradigm</x:v>
      </x:c>
      <x:c r="D531" t="str">
        <x:v>Rule-based</x:v>
      </x:c>
    </x:row>
    <x:row r="532">
      <x:c r="A532" t="str">
        <x:v>S51</x:v>
      </x:c>
      <x:c r="B532" t="str">
        <x:v>Citation search +19</x:v>
      </x:c>
      <x:c r="C532" t="str">
        <x:v>Interaction type</x:v>
      </x:c>
      <x:c r="D532" t="str">
        <x:v>Cooperation</x:v>
      </x:c>
    </x:row>
    <x:row r="533">
      <x:c r="A533" t="str">
        <x:v>S51</x:v>
      </x:c>
      <x:c r="B533" t="str">
        <x:v>Citation search +19</x:v>
      </x:c>
      <x:c r="C533" t="str">
        <x:v>Interaction type</x:v>
      </x:c>
      <x:c r="D533" t="str">
        <x:v>Coordination</x:v>
      </x:c>
    </x:row>
    <x:row r="534">
      <x:c r="A534" t="str">
        <x:v>S51</x:v>
      </x:c>
      <x:c r="B534" t="str">
        <x:v>Citation search +19</x:v>
      </x:c>
      <x:c r="C534" t="str">
        <x:v>Interaction type</x:v>
      </x:c>
      <x:c r="D534" t="str">
        <x:v>Information sharing</x:v>
      </x:c>
    </x:row>
    <x:row r="535">
      <x:c r="A535" t="str">
        <x:v>S51</x:v>
      </x:c>
      <x:c r="B535" t="str">
        <x:v>Citation search +19</x:v>
      </x:c>
      <x:c r="C535" t="str">
        <x:v>Evaluation feature</x:v>
      </x:c>
      <x:c r="D535" t="str">
        <x:v>Simulation</x:v>
      </x:c>
    </x:row>
    <x:row r="536">
      <x:c r="A536" t="str">
        <x:v>S51</x:v>
      </x:c>
      <x:c r="B536" t="str">
        <x:v>Citation search +19</x:v>
      </x:c>
      <x:c r="C536" t="str">
        <x:v>Evaluation feature</x:v>
      </x:c>
      <x:c r="D536" t="str">
        <x:v>Case study</x:v>
      </x:c>
    </x:row>
    <x:row r="537">
      <x:c r="A537" t="str">
        <x:v>S51</x:v>
      </x:c>
      <x:c r="B537" t="str">
        <x:v>Citation search +19</x:v>
      </x:c>
      <x:c r="C537" t="str">
        <x:v>Evaluation feature</x:v>
      </x:c>
      <x:c r="D537" t="str">
        <x:v>Comparative evaluation/experiment</x:v>
      </x:c>
    </x:row>
    <x:row r="538">
      <x:c r="A538" t="str">
        <x:v>S51</x:v>
      </x:c>
      <x:c r="B538" t="str">
        <x:v>Citation search +19</x:v>
      </x:c>
      <x:c r="C538" t="str">
        <x:v>Evaluation feature</x:v>
      </x:c>
      <x:c r="D538" t="str">
        <x:v>Calibration/validation</x:v>
      </x:c>
    </x:row>
    <x:row r="539">
      <x:c r="A539" t="str">
        <x:v>S51</x:v>
      </x:c>
      <x:c r="B539" t="str">
        <x:v>Citation search +19</x:v>
      </x:c>
      <x:c r="C539" t="str">
        <x:v>Limitation category</x:v>
      </x:c>
      <x:c r="D539" t="str">
        <x:v>Environmental modelling</x:v>
      </x:c>
    </x:row>
    <x:row r="540">
      <x:c r="A540" t="str">
        <x:v>S51</x:v>
      </x:c>
      <x:c r="B540" t="str">
        <x:v>Citation search +19</x:v>
      </x:c>
      <x:c r="C540" t="str">
        <x:v>Limitation category</x:v>
      </x:c>
      <x:c r="D540" t="str">
        <x:v>Real-world validation</x:v>
      </x:c>
    </x:row>
    <x:row r="541">
      <x:c r="A541" t="str">
        <x:v>S51</x:v>
      </x:c>
      <x:c r="B541" t="str">
        <x:v>Citation search +19</x:v>
      </x:c>
      <x:c r="C541" t="str">
        <x:v>Limitation category</x:v>
      </x:c>
      <x:c r="D541" t="str">
        <x:v>Uncertainty</x:v>
      </x:c>
    </x:row>
    <x:row r="542">
      <x:c r="A542" t="str">
        <x:v>S51</x:v>
      </x:c>
      <x:c r="B542" t="str">
        <x:v>Citation search +19</x:v>
      </x:c>
      <x:c r="C542" t="str">
        <x:v>Limitation category</x:v>
      </x:c>
      <x:c r="D542" t="str">
        <x:v>Adoption/usability</x:v>
      </x:c>
    </x:row>
    <x:row r="543">
      <x:c r="A543" t="str">
        <x:v>S52</x:v>
      </x:c>
      <x:c r="B543" t="str">
        <x:v>Citation search +19</x:v>
      </x:c>
      <x:c r="C543" t="str">
        <x:v>Agent paradigm</x:v>
      </x:c>
      <x:c r="D543" t="str">
        <x:v>Rule-based</x:v>
      </x:c>
    </x:row>
    <x:row r="544">
      <x:c r="A544" t="str">
        <x:v>S52</x:v>
      </x:c>
      <x:c r="B544" t="str">
        <x:v>Citation search +19</x:v>
      </x:c>
      <x:c r="C544" t="str">
        <x:v>Interaction type</x:v>
      </x:c>
      <x:c r="D544" t="str">
        <x:v>Coordination</x:v>
      </x:c>
    </x:row>
    <x:row r="545">
      <x:c r="A545" t="str">
        <x:v>S52</x:v>
      </x:c>
      <x:c r="B545" t="str">
        <x:v>Citation search +19</x:v>
      </x:c>
      <x:c r="C545" t="str">
        <x:v>Interaction type</x:v>
      </x:c>
      <x:c r="D545" t="str">
        <x:v>Information sharing</x:v>
      </x:c>
    </x:row>
    <x:row r="546">
      <x:c r="A546" t="str">
        <x:v>S52</x:v>
      </x:c>
      <x:c r="B546" t="str">
        <x:v>Citation search +19</x:v>
      </x:c>
      <x:c r="C546" t="str">
        <x:v>Evaluation feature</x:v>
      </x:c>
      <x:c r="D546" t="str">
        <x:v>Simulation</x:v>
      </x:c>
    </x:row>
    <x:row r="547">
      <x:c r="A547" t="str">
        <x:v>S52</x:v>
      </x:c>
      <x:c r="B547" t="str">
        <x:v>Citation search +19</x:v>
      </x:c>
      <x:c r="C547" t="str">
        <x:v>Evaluation feature</x:v>
      </x:c>
      <x:c r="D547" t="str">
        <x:v>Case study</x:v>
      </x:c>
    </x:row>
    <x:row r="548">
      <x:c r="A548" t="str">
        <x:v>S52</x:v>
      </x:c>
      <x:c r="B548" t="str">
        <x:v>Citation search +19</x:v>
      </x:c>
      <x:c r="C548" t="str">
        <x:v>Evaluation feature</x:v>
      </x:c>
      <x:c r="D548" t="str">
        <x:v>Comparative evaluation/experiment</x:v>
      </x:c>
    </x:row>
    <x:row r="549">
      <x:c r="A549" t="str">
        <x:v>S52</x:v>
      </x:c>
      <x:c r="B549" t="str">
        <x:v>Citation search +19</x:v>
      </x:c>
      <x:c r="C549" t="str">
        <x:v>Evaluation feature</x:v>
      </x:c>
      <x:c r="D549" t="str">
        <x:v>Computational evaluation</x:v>
      </x:c>
    </x:row>
    <x:row r="550">
      <x:c r="A550" t="str">
        <x:v>S52</x:v>
      </x:c>
      <x:c r="B550" t="str">
        <x:v>Citation search +19</x:v>
      </x:c>
      <x:c r="C550" t="str">
        <x:v>Limitation category</x:v>
      </x:c>
      <x:c r="D550" t="str">
        <x:v>Environmental modelling</x:v>
      </x:c>
    </x:row>
    <x:row r="551">
      <x:c r="A551" t="str">
        <x:v>S52</x:v>
      </x:c>
      <x:c r="B551" t="str">
        <x:v>Citation search +19</x:v>
      </x:c>
      <x:c r="C551" t="str">
        <x:v>Limitation category</x:v>
      </x:c>
      <x:c r="D551" t="str">
        <x:v>Computational requirements</x:v>
      </x:c>
    </x:row>
    <x:row r="552">
      <x:c r="A552" t="str">
        <x:v>S52</x:v>
      </x:c>
      <x:c r="B552" t="str">
        <x:v>Citation search +19</x:v>
      </x:c>
      <x:c r="C552" t="str">
        <x:v>Limitation category</x:v>
      </x:c>
      <x:c r="D552" t="str">
        <x:v>Uncertainty</x:v>
      </x:c>
    </x:row>
    <x:row r="553">
      <x:c r="A553" t="str">
        <x:v>S52</x:v>
      </x:c>
      <x:c r="B553" t="str">
        <x:v>Citation search +19</x:v>
      </x:c>
      <x:c r="C553" t="str">
        <x:v>Limitation category</x:v>
      </x:c>
      <x:c r="D553" t="str">
        <x:v>Real-world validation</x:v>
      </x:c>
    </x:row>
    <x:row r="554">
      <x:c r="A554" t="str">
        <x:v>S52</x:v>
      </x:c>
      <x:c r="B554" t="str">
        <x:v>Citation search +19</x:v>
      </x:c>
      <x:c r="C554" t="str">
        <x:v>Limitation category</x:v>
      </x:c>
      <x:c r="D554" t="str">
        <x:v>Adoption/usability</x:v>
      </x:c>
    </x:row>
    <x:row r="555">
      <x:c r="A555" t="str">
        <x:v>S52</x:v>
      </x:c>
      <x:c r="B555" t="str">
        <x:v>Citation search +19</x:v>
      </x:c>
      <x:c r="C555" t="str">
        <x:v>Limitation category</x:v>
      </x:c>
      <x:c r="D555" t="str">
        <x:v>Reproducibility/data availability</x:v>
      </x:c>
    </x:row>
    <x:row r="556">
      <x:c r="A556" t="str">
        <x:v>S53</x:v>
      </x:c>
      <x:c r="B556" t="str">
        <x:v>Citation search +19</x:v>
      </x:c>
      <x:c r="C556" t="str">
        <x:v>Agent paradigm</x:v>
      </x:c>
      <x:c r="D556" t="str">
        <x:v>NR</x:v>
      </x:c>
    </x:row>
    <x:row r="557">
      <x:c r="A557" t="str">
        <x:v>S53</x:v>
      </x:c>
      <x:c r="B557" t="str">
        <x:v>Citation search +19</x:v>
      </x:c>
      <x:c r="C557" t="str">
        <x:v>Interaction type</x:v>
      </x:c>
      <x:c r="D557" t="str">
        <x:v>Coordination</x:v>
      </x:c>
    </x:row>
    <x:row r="558">
      <x:c r="A558" t="str">
        <x:v>S53</x:v>
      </x:c>
      <x:c r="B558" t="str">
        <x:v>Citation search +19</x:v>
      </x:c>
      <x:c r="C558" t="str">
        <x:v>Interaction type</x:v>
      </x:c>
      <x:c r="D558" t="str">
        <x:v>Task allocation</x:v>
      </x:c>
    </x:row>
    <x:row r="559">
      <x:c r="A559" t="str">
        <x:v>S53</x:v>
      </x:c>
      <x:c r="B559" t="str">
        <x:v>Citation search +19</x:v>
      </x:c>
      <x:c r="C559" t="str">
        <x:v>Interaction type</x:v>
      </x:c>
      <x:c r="D559" t="str">
        <x:v>Competition</x:v>
      </x:c>
    </x:row>
    <x:row r="560">
      <x:c r="A560" t="str">
        <x:v>S53</x:v>
      </x:c>
      <x:c r="B560" t="str">
        <x:v>Citation search +19</x:v>
      </x:c>
      <x:c r="C560" t="str">
        <x:v>Evaluation feature</x:v>
      </x:c>
      <x:c r="D560" t="str">
        <x:v>Simulation</x:v>
      </x:c>
    </x:row>
    <x:row r="561">
      <x:c r="A561" t="str">
        <x:v>S53</x:v>
      </x:c>
      <x:c r="B561" t="str">
        <x:v>Citation search +19</x:v>
      </x:c>
      <x:c r="C561" t="str">
        <x:v>Evaluation feature</x:v>
      </x:c>
      <x:c r="D561" t="str">
        <x:v>Comparative evaluation/experiment</x:v>
      </x:c>
    </x:row>
    <x:row r="562">
      <x:c r="A562" t="str">
        <x:v>S53</x:v>
      </x:c>
      <x:c r="B562" t="str">
        <x:v>Citation search +19</x:v>
      </x:c>
      <x:c r="C562" t="str">
        <x:v>Limitation category</x:v>
      </x:c>
      <x:c r="D562" t="str">
        <x:v>Computational requirements</x:v>
      </x:c>
    </x:row>
    <x:row r="563">
      <x:c r="A563" t="str">
        <x:v>S53</x:v>
      </x:c>
      <x:c r="B563" t="str">
        <x:v>Citation search +19</x:v>
      </x:c>
      <x:c r="C563" t="str">
        <x:v>Limitation category</x:v>
      </x:c>
      <x:c r="D563" t="str">
        <x:v>Uncertainty</x:v>
      </x:c>
    </x:row>
    <x:row r="564">
      <x:c r="A564" t="str">
        <x:v>S53</x:v>
      </x:c>
      <x:c r="B564" t="str">
        <x:v>Citation search +19</x:v>
      </x:c>
      <x:c r="C564" t="str">
        <x:v>Limitation category</x:v>
      </x:c>
      <x:c r="D564" t="str">
        <x:v>Real-world validation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28" hidden="0" customWidth="1"/>
    <x:col min="4" max="4" width="16" hidden="0" customWidth="1"/>
    <x:col min="5" max="5" width="16" hidden="0" customWidth="1"/>
    <x:col min="6" max="6" width="35" hidden="0" customWidth="1"/>
    <x:col min="7" max="7" width="60" hidden="0" customWidth="1"/>
  </x:cols>
  <x:sheetData>
    <x:row r="1">
      <x:c r="A1" s="6" t="str">
        <x:v>Study_Family_ID</x:v>
      </x:c>
      <x:c r="B1" s="6" t="str">
        <x:v>Member_Count</x:v>
      </x:c>
      <x:c r="C1" s="6" t="str">
        <x:v>Member_Study_IDs</x:v>
      </x:c>
      <x:c r="D1" s="6" t="str">
        <x:v>In_Original_34</x:v>
      </x:c>
      <x:c r="E1" s="6" t="str">
        <x:v>Multi_Publication</x:v>
      </x:c>
      <x:c r="F1" s="6" t="str">
        <x:v>Research_Line_or_Label</x:v>
      </x:c>
      <x:c r="G1" s="6" t="str">
        <x:v>Rationale</x:v>
      </x:c>
    </x:row>
    <x:row r="2">
      <x:c r="A2" t="str">
        <x:v>SF01</x:v>
      </x:c>
      <x:c r="B2" t="n">
        <x:v>1</x:v>
      </x:c>
      <x:c r="C2" t="str">
        <x:v>S01</x:v>
      </x:c>
      <x:c r="D2" t="str">
        <x:v>Yes</x:v>
      </x:c>
      <x:c r="E2" t="str">
        <x:v>No</x:v>
      </x:c>
      <x:c r="F2" t="str"/>
      <x:c r="G2" t="str">
        <x:v>No substantial publication-level evidence overlap identified with another included publication.</x:v>
      </x:c>
    </x:row>
    <x:row r="3">
      <x:c r="A3" t="str">
        <x:v>SF02</x:v>
      </x:c>
      <x:c r="B3" t="n">
        <x:v>1</x:v>
      </x:c>
      <x:c r="C3" t="str">
        <x:v>S02</x:v>
      </x:c>
      <x:c r="D3" t="str">
        <x:v>Yes</x:v>
      </x:c>
      <x:c r="E3" t="str">
        <x:v>No</x:v>
      </x:c>
      <x:c r="F3" t="str"/>
      <x:c r="G3" t="str">
        <x:v>No substantial publication-level evidence overlap identified with another included publication.</x:v>
      </x:c>
    </x:row>
    <x:row r="4">
      <x:c r="A4" t="str">
        <x:v>SF03</x:v>
      </x:c>
      <x:c r="B4" t="n">
        <x:v>1</x:v>
      </x:c>
      <x:c r="C4" t="str">
        <x:v>S03</x:v>
      </x:c>
      <x:c r="D4" t="str">
        <x:v>Yes</x:v>
      </x:c>
      <x:c r="E4" t="str">
        <x:v>No</x:v>
      </x:c>
      <x:c r="F4" t="str"/>
      <x:c r="G4" t="str">
        <x:v>No substantial publication-level evidence overlap identified with another included publication.</x:v>
      </x:c>
    </x:row>
    <x:row r="5">
      <x:c r="A5" t="str">
        <x:v>SF04</x:v>
      </x:c>
      <x:c r="B5" t="n">
        <x:v>1</x:v>
      </x:c>
      <x:c r="C5" t="str">
        <x:v>S04</x:v>
      </x:c>
      <x:c r="D5" t="str">
        <x:v>Yes</x:v>
      </x:c>
      <x:c r="E5" t="str">
        <x:v>No</x:v>
      </x:c>
      <x:c r="F5" t="str"/>
      <x:c r="G5" t="str">
        <x:v>No substantial publication-level evidence overlap identified with another included publication.</x:v>
      </x:c>
    </x:row>
    <x:row r="6">
      <x:c r="A6" t="str">
        <x:v>SF05</x:v>
      </x:c>
      <x:c r="B6" t="n">
        <x:v>3</x:v>
      </x:c>
      <x:c r="C6" t="str">
        <x:v>S05; S11; S29</x:v>
      </x:c>
      <x:c r="D6" t="str">
        <x:v>Yes</x:v>
      </x:c>
      <x:c r="E6" t="str">
        <x:v>Yes</x:v>
      </x:c>
      <x:c r="F6" t="str">
        <x:v>Dairy P2P energy / MAPDES</x:v>
      </x:c>
      <x:c r="G6" t="str">
        <x:v>Dairy-farm peer-to-peer energy-trading publications with overlapping MAPDES system/evidence.</x:v>
      </x:c>
    </x:row>
    <x:row r="7">
      <x:c r="A7" t="str">
        <x:v>SF06</x:v>
      </x:c>
      <x:c r="B7" t="n">
        <x:v>1</x:v>
      </x:c>
      <x:c r="C7" t="str">
        <x:v>S06</x:v>
      </x:c>
      <x:c r="D7" t="str">
        <x:v>Yes</x:v>
      </x:c>
      <x:c r="E7" t="str">
        <x:v>No</x:v>
      </x:c>
      <x:c r="F7" t="str"/>
      <x:c r="G7" t="str">
        <x:v>No substantial publication-level evidence overlap identified with another included publication.</x:v>
      </x:c>
    </x:row>
    <x:row r="8">
      <x:c r="A8" t="str">
        <x:v>SF07</x:v>
      </x:c>
      <x:c r="B8" t="n">
        <x:v>1</x:v>
      </x:c>
      <x:c r="C8" t="str">
        <x:v>S07</x:v>
      </x:c>
      <x:c r="D8" t="str">
        <x:v>Yes</x:v>
      </x:c>
      <x:c r="E8" t="str">
        <x:v>No</x:v>
      </x:c>
      <x:c r="F8" t="str"/>
      <x:c r="G8" t="str">
        <x:v>No substantial publication-level evidence overlap identified with another included publication.</x:v>
      </x:c>
    </x:row>
    <x:row r="9">
      <x:c r="A9" t="str">
        <x:v>SF08</x:v>
      </x:c>
      <x:c r="B9" t="n">
        <x:v>2</x:v>
      </x:c>
      <x:c r="C9" t="str">
        <x:v>S08; S23</x:v>
      </x:c>
      <x:c r="D9" t="str">
        <x:v>Yes</x:v>
      </x:c>
      <x:c r="E9" t="str">
        <x:v>Yes</x:v>
      </x:c>
      <x:c r="F9" t="str">
        <x:v>Semi-centralized MARL irrigation</x:v>
      </x:c>
      <x:c r="G9" t="str">
        <x:v>Conference/journal-style publications of the same semi-centralized MARL irrigation line.</x:v>
      </x:c>
    </x:row>
    <x:row r="10">
      <x:c r="A10" t="str">
        <x:v>SF09</x:v>
      </x:c>
      <x:c r="B10" t="n">
        <x:v>1</x:v>
      </x:c>
      <x:c r="C10" t="str">
        <x:v>S09</x:v>
      </x:c>
      <x:c r="D10" t="str">
        <x:v>Yes</x:v>
      </x:c>
      <x:c r="E10" t="str">
        <x:v>No</x:v>
      </x:c>
      <x:c r="F10" t="str"/>
      <x:c r="G10" t="str">
        <x:v>No substantial publication-level evidence overlap identified with another included publication.</x:v>
      </x:c>
    </x:row>
    <x:row r="11">
      <x:c r="A11" t="str">
        <x:v>SF10</x:v>
      </x:c>
      <x:c r="B11" t="n">
        <x:v>1</x:v>
      </x:c>
      <x:c r="C11" t="str">
        <x:v>S10</x:v>
      </x:c>
      <x:c r="D11" t="str">
        <x:v>Yes</x:v>
      </x:c>
      <x:c r="E11" t="str">
        <x:v>No</x:v>
      </x:c>
      <x:c r="F11" t="str"/>
      <x:c r="G11" t="str">
        <x:v>No substantial publication-level evidence overlap identified with another included publication.</x:v>
      </x:c>
    </x:row>
    <x:row r="12">
      <x:c r="A12" t="str">
        <x:v>SF12</x:v>
      </x:c>
      <x:c r="B12" t="n">
        <x:v>1</x:v>
      </x:c>
      <x:c r="C12" t="str">
        <x:v>S12</x:v>
      </x:c>
      <x:c r="D12" t="str">
        <x:v>Yes</x:v>
      </x:c>
      <x:c r="E12" t="str">
        <x:v>No</x:v>
      </x:c>
      <x:c r="F12" t="str"/>
      <x:c r="G12" t="str">
        <x:v>No substantial publication-level evidence overlap identified with another included publication.</x:v>
      </x:c>
    </x:row>
    <x:row r="13">
      <x:c r="A13" t="str">
        <x:v>SF13</x:v>
      </x:c>
      <x:c r="B13" t="n">
        <x:v>2</x:v>
      </x:c>
      <x:c r="C13" t="str">
        <x:v>S13; S22</x:v>
      </x:c>
      <x:c r="D13" t="str">
        <x:v>Yes</x:v>
      </x:c>
      <x:c r="E13" t="str">
        <x:v>Yes</x:v>
      </x:c>
      <x:c r="F13" t="str">
        <x:v>MAELIA core/platform</x:v>
      </x:c>
      <x:c r="G13" t="str">
        <x:v>Overlapping MAELIA platform papers from the same 2014 integrated-assessment project.</x:v>
      </x:c>
    </x:row>
    <x:row r="14">
      <x:c r="A14" t="str">
        <x:v>SF14</x:v>
      </x:c>
      <x:c r="B14" t="n">
        <x:v>1</x:v>
      </x:c>
      <x:c r="C14" t="str">
        <x:v>S14</x:v>
      </x:c>
      <x:c r="D14" t="str">
        <x:v>Yes</x:v>
      </x:c>
      <x:c r="E14" t="str">
        <x:v>No</x:v>
      </x:c>
      <x:c r="F14" t="str"/>
      <x:c r="G14" t="str">
        <x:v>No substantial publication-level evidence overlap identified with another included publication.</x:v>
      </x:c>
    </x:row>
    <x:row r="15">
      <x:c r="A15" t="str">
        <x:v>SF15</x:v>
      </x:c>
      <x:c r="B15" t="n">
        <x:v>1</x:v>
      </x:c>
      <x:c r="C15" t="str">
        <x:v>S15</x:v>
      </x:c>
      <x:c r="D15" t="str">
        <x:v>Yes</x:v>
      </x:c>
      <x:c r="E15" t="str">
        <x:v>No</x:v>
      </x:c>
      <x:c r="F15" t="str"/>
      <x:c r="G15" t="str">
        <x:v>No substantial publication-level evidence overlap identified with another included publication.</x:v>
      </x:c>
    </x:row>
    <x:row r="16">
      <x:c r="A16" t="str">
        <x:v>SF16</x:v>
      </x:c>
      <x:c r="B16" t="n">
        <x:v>2</x:v>
      </x:c>
      <x:c r="C16" t="str">
        <x:v>S16; S20</x:v>
      </x:c>
      <x:c r="D16" t="str">
        <x:v>Yes</x:v>
      </x:c>
      <x:c r="E16" t="str">
        <x:v>Yes</x:v>
      </x:c>
      <x:c r="F16" t="str">
        <x:v>Community irrigation negotiation</x:v>
      </x:c>
      <x:c r="G16" t="str">
        <x:v>Overlapping community-irrigation negotiation studies from the same research line/team.</x:v>
      </x:c>
    </x:row>
    <x:row r="17">
      <x:c r="A17" t="str">
        <x:v>SF17</x:v>
      </x:c>
      <x:c r="B17" t="n">
        <x:v>1</x:v>
      </x:c>
      <x:c r="C17" t="str">
        <x:v>S17</x:v>
      </x:c>
      <x:c r="D17" t="str">
        <x:v>Yes</x:v>
      </x:c>
      <x:c r="E17" t="str">
        <x:v>No</x:v>
      </x:c>
      <x:c r="F17" t="str"/>
      <x:c r="G17" t="str">
        <x:v>No substantial publication-level evidence overlap identified with another included publication.</x:v>
      </x:c>
    </x:row>
    <x:row r="18">
      <x:c r="A18" t="str">
        <x:v>SF18</x:v>
      </x:c>
      <x:c r="B18" t="n">
        <x:v>1</x:v>
      </x:c>
      <x:c r="C18" t="str">
        <x:v>S18</x:v>
      </x:c>
      <x:c r="D18" t="str">
        <x:v>Yes</x:v>
      </x:c>
      <x:c r="E18" t="str">
        <x:v>No</x:v>
      </x:c>
      <x:c r="F18" t="str"/>
      <x:c r="G18" t="str">
        <x:v>No substantial publication-level evidence overlap identified with another included publication.</x:v>
      </x:c>
    </x:row>
    <x:row r="19">
      <x:c r="A19" t="str">
        <x:v>SF19</x:v>
      </x:c>
      <x:c r="B19" t="n">
        <x:v>1</x:v>
      </x:c>
      <x:c r="C19" t="str">
        <x:v>S19</x:v>
      </x:c>
      <x:c r="D19" t="str">
        <x:v>Yes</x:v>
      </x:c>
      <x:c r="E19" t="str">
        <x:v>No</x:v>
      </x:c>
      <x:c r="F19" t="str"/>
      <x:c r="G19" t="str">
        <x:v>No substantial publication-level evidence overlap identified with another included publication.</x:v>
      </x:c>
    </x:row>
    <x:row r="20">
      <x:c r="A20" t="str">
        <x:v>SF21</x:v>
      </x:c>
      <x:c r="B20" t="n">
        <x:v>1</x:v>
      </x:c>
      <x:c r="C20" t="str">
        <x:v>S21</x:v>
      </x:c>
      <x:c r="D20" t="str">
        <x:v>Yes</x:v>
      </x:c>
      <x:c r="E20" t="str">
        <x:v>No</x:v>
      </x:c>
      <x:c r="F20" t="str"/>
      <x:c r="G20" t="str">
        <x:v>No substantial publication-level evidence overlap identified with another included publication.</x:v>
      </x:c>
    </x:row>
    <x:row r="21">
      <x:c r="A21" t="str">
        <x:v>SF24</x:v>
      </x:c>
      <x:c r="B21" t="n">
        <x:v>1</x:v>
      </x:c>
      <x:c r="C21" t="str">
        <x:v>S24</x:v>
      </x:c>
      <x:c r="D21" t="str">
        <x:v>Yes</x:v>
      </x:c>
      <x:c r="E21" t="str">
        <x:v>No</x:v>
      </x:c>
      <x:c r="F21" t="str"/>
      <x:c r="G21" t="str">
        <x:v>No substantial publication-level evidence overlap identified with another included publication.</x:v>
      </x:c>
    </x:row>
    <x:row r="22">
      <x:c r="A22" t="str">
        <x:v>SF25</x:v>
      </x:c>
      <x:c r="B22" t="n">
        <x:v>3</x:v>
      </x:c>
      <x:c r="C22" t="str">
        <x:v>S25; S33; S34</x:v>
      </x:c>
      <x:c r="D22" t="str">
        <x:v>Yes</x:v>
      </x:c>
      <x:c r="E22" t="str">
        <x:v>Yes</x:v>
      </x:c>
      <x:c r="F22" t="str">
        <x:v>Harvest workforce/task allocation</x:v>
      </x:c>
      <x:c r="G22" t="str">
        <x:v>Overlapping harvest-workforce/task-allocation publications from the same research programme.</x:v>
      </x:c>
    </x:row>
    <x:row r="23">
      <x:c r="A23" t="str">
        <x:v>SF26</x:v>
      </x:c>
      <x:c r="B23" t="n">
        <x:v>1</x:v>
      </x:c>
      <x:c r="C23" t="str">
        <x:v>S26</x:v>
      </x:c>
      <x:c r="D23" t="str">
        <x:v>Yes</x:v>
      </x:c>
      <x:c r="E23" t="str">
        <x:v>No</x:v>
      </x:c>
      <x:c r="F23" t="str"/>
      <x:c r="G23" t="str">
        <x:v>No substantial publication-level evidence overlap identified with another included publication.</x:v>
      </x:c>
    </x:row>
    <x:row r="24">
      <x:c r="A24" t="str">
        <x:v>SF27</x:v>
      </x:c>
      <x:c r="B24" t="n">
        <x:v>1</x:v>
      </x:c>
      <x:c r="C24" t="str">
        <x:v>S27</x:v>
      </x:c>
      <x:c r="D24" t="str">
        <x:v>Yes</x:v>
      </x:c>
      <x:c r="E24" t="str">
        <x:v>No</x:v>
      </x:c>
      <x:c r="F24" t="str"/>
      <x:c r="G24" t="str">
        <x:v>No substantial publication-level evidence overlap identified with another included publication.</x:v>
      </x:c>
    </x:row>
    <x:row r="25">
      <x:c r="A25" t="str">
        <x:v>SF28</x:v>
      </x:c>
      <x:c r="B25" t="n">
        <x:v>1</x:v>
      </x:c>
      <x:c r="C25" t="str">
        <x:v>S28</x:v>
      </x:c>
      <x:c r="D25" t="str">
        <x:v>Yes</x:v>
      </x:c>
      <x:c r="E25" t="str">
        <x:v>No</x:v>
      </x:c>
      <x:c r="F25" t="str"/>
      <x:c r="G25" t="str">
        <x:v>No substantial publication-level evidence overlap identified with another included publication.</x:v>
      </x:c>
    </x:row>
    <x:row r="26">
      <x:c r="A26" t="str">
        <x:v>SF30</x:v>
      </x:c>
      <x:c r="B26" t="n">
        <x:v>1</x:v>
      </x:c>
      <x:c r="C26" t="str">
        <x:v>S30</x:v>
      </x:c>
      <x:c r="D26" t="str">
        <x:v>Yes</x:v>
      </x:c>
      <x:c r="E26" t="str">
        <x:v>No</x:v>
      </x:c>
      <x:c r="F26" t="str"/>
      <x:c r="G26" t="str">
        <x:v>No substantial publication-level evidence overlap identified with another included publication.</x:v>
      </x:c>
    </x:row>
    <x:row r="27">
      <x:c r="A27" t="str">
        <x:v>SF31</x:v>
      </x:c>
      <x:c r="B27" t="n">
        <x:v>1</x:v>
      </x:c>
      <x:c r="C27" t="str">
        <x:v>S31</x:v>
      </x:c>
      <x:c r="D27" t="str">
        <x:v>Yes</x:v>
      </x:c>
      <x:c r="E27" t="str">
        <x:v>No</x:v>
      </x:c>
      <x:c r="F27" t="str"/>
      <x:c r="G27" t="str">
        <x:v>No substantial publication-level evidence overlap identified with another included publication.</x:v>
      </x:c>
    </x:row>
    <x:row r="28">
      <x:c r="A28" t="str">
        <x:v>SF32</x:v>
      </x:c>
      <x:c r="B28" t="n">
        <x:v>1</x:v>
      </x:c>
      <x:c r="C28" t="str">
        <x:v>S32</x:v>
      </x:c>
      <x:c r="D28" t="str">
        <x:v>Yes</x:v>
      </x:c>
      <x:c r="E28" t="str">
        <x:v>No</x:v>
      </x:c>
      <x:c r="F28" t="str"/>
      <x:c r="G28" t="str">
        <x:v>No substantial publication-level evidence overlap identified with another included publication.</x:v>
      </x:c>
    </x:row>
    <x:row r="29">
      <x:c r="A29" t="str">
        <x:v>SF35</x:v>
      </x:c>
      <x:c r="B29" t="n">
        <x:v>1</x:v>
      </x:c>
      <x:c r="C29" t="str">
        <x:v>S35</x:v>
      </x:c>
      <x:c r="D29" t="str">
        <x:v>No</x:v>
      </x:c>
      <x:c r="E29" t="str">
        <x:v>No</x:v>
      </x:c>
      <x:c r="F29" t="str">
        <x:v>MP-MAS methodology/platform overview</x:v>
      </x:c>
      <x:c r="G29" t="str">
        <x:v>Kept separate despite summarising several MP-MAS applications because it spans multiple empirical studies rather than duplicating one single case.</x:v>
      </x:c>
    </x:row>
    <x:row r="30">
      <x:c r="A30" t="str">
        <x:v>SF36</x:v>
      </x:c>
      <x:c r="B30" t="n">
        <x:v>1</x:v>
      </x:c>
      <x:c r="C30" t="str">
        <x:v>S36</x:v>
      </x:c>
      <x:c r="D30" t="str">
        <x:v>No</x:v>
      </x:c>
      <x:c r="E30" t="str">
        <x:v>No</x:v>
      </x:c>
      <x:c r="F30" t="str">
        <x:v>MP-MAS Thailand application</x:v>
      </x:c>
      <x:c r="G30" t="str">
        <x:v>Distinct empirical MP-MAS application; shared platform alone is not treated as evidence duplication.</x:v>
      </x:c>
    </x:row>
    <x:row r="31">
      <x:c r="A31" t="str">
        <x:v>SF37</x:v>
      </x:c>
      <x:c r="B31" t="n">
        <x:v>1</x:v>
      </x:c>
      <x:c r="C31" t="str">
        <x:v>S37</x:v>
      </x:c>
      <x:c r="D31" t="str">
        <x:v>No</x:v>
      </x:c>
      <x:c r="E31" t="str">
        <x:v>No</x:v>
      </x:c>
      <x:c r="F31" t="str">
        <x:v>MP-MAS Vietnam application</x:v>
      </x:c>
      <x:c r="G31" t="str">
        <x:v>Distinct empirical MP-MAS application; shared platform alone is not treated as evidence duplication.</x:v>
      </x:c>
    </x:row>
    <x:row r="32">
      <x:c r="A32" t="str">
        <x:v>SF38</x:v>
      </x:c>
      <x:c r="B32" t="n">
        <x:v>1</x:v>
      </x:c>
      <x:c r="C32" t="str">
        <x:v>S38</x:v>
      </x:c>
      <x:c r="D32" t="str">
        <x:v>No</x:v>
      </x:c>
      <x:c r="E32" t="str">
        <x:v>No</x:v>
      </x:c>
      <x:c r="F32" t="str"/>
      <x:c r="G32" t="str">
        <x:v>No substantial publication-level evidence overlap identified with another included publication.</x:v>
      </x:c>
    </x:row>
    <x:row r="33">
      <x:c r="A33" t="str">
        <x:v>SF39</x:v>
      </x:c>
      <x:c r="B33" t="n">
        <x:v>1</x:v>
      </x:c>
      <x:c r="C33" t="str">
        <x:v>S39</x:v>
      </x:c>
      <x:c r="D33" t="str">
        <x:v>No</x:v>
      </x:c>
      <x:c r="E33" t="str">
        <x:v>No</x:v>
      </x:c>
      <x:c r="F33" t="str"/>
      <x:c r="G33" t="str">
        <x:v>No substantial publication-level evidence overlap identified with another included publication.</x:v>
      </x:c>
    </x:row>
    <x:row r="34">
      <x:c r="A34" t="str">
        <x:v>SF40</x:v>
      </x:c>
      <x:c r="B34" t="n">
        <x:v>1</x:v>
      </x:c>
      <x:c r="C34" t="str">
        <x:v>S40</x:v>
      </x:c>
      <x:c r="D34" t="str">
        <x:v>No</x:v>
      </x:c>
      <x:c r="E34" t="str">
        <x:v>No</x:v>
      </x:c>
      <x:c r="F34" t="str"/>
      <x:c r="G34" t="str">
        <x:v>No substantial publication-level evidence overlap identified with another included publication.</x:v>
      </x:c>
    </x:row>
    <x:row r="35">
      <x:c r="A35" t="str">
        <x:v>SF41</x:v>
      </x:c>
      <x:c r="B35" t="n">
        <x:v>1</x:v>
      </x:c>
      <x:c r="C35" t="str">
        <x:v>S41</x:v>
      </x:c>
      <x:c r="D35" t="str">
        <x:v>No</x:v>
      </x:c>
      <x:c r="E35" t="str">
        <x:v>No</x:v>
      </x:c>
      <x:c r="F35" t="str"/>
      <x:c r="G35" t="str">
        <x:v>No substantial publication-level evidence overlap identified with another included publication.</x:v>
      </x:c>
    </x:row>
    <x:row r="36">
      <x:c r="A36" t="str">
        <x:v>SF42</x:v>
      </x:c>
      <x:c r="B36" t="n">
        <x:v>2</x:v>
      </x:c>
      <x:c r="C36" t="str">
        <x:v>S42; S52</x:v>
      </x:c>
      <x:c r="D36" t="str">
        <x:v>No</x:v>
      </x:c>
      <x:c r="E36" t="str">
        <x:v>Yes</x:v>
      </x:c>
      <x:c r="F36" t="str">
        <x:v>MAELIA Aveyron application / WEF extension</x:v>
      </x:c>
      <x:c r="G36" t="str">
        <x:v>S42 and S52 reuse the downstream Aveyron MAELIA case/model lineage; S52 is a later WEF/strategic extension built on the same benchmark/case data.</x:v>
      </x:c>
    </x:row>
    <x:row r="37">
      <x:c r="A37" t="str">
        <x:v>SF43</x:v>
      </x:c>
      <x:c r="B37" t="n">
        <x:v>1</x:v>
      </x:c>
      <x:c r="C37" t="str">
        <x:v>S43</x:v>
      </x:c>
      <x:c r="D37" t="str">
        <x:v>No</x:v>
      </x:c>
      <x:c r="E37" t="str">
        <x:v>No</x:v>
      </x:c>
      <x:c r="F37" t="str">
        <x:v>MP-MAS Chile application</x:v>
      </x:c>
      <x:c r="G37" t="str">
        <x:v>Distinct empirical MP-MAS application; shared platform alone is not treated as evidence duplication.</x:v>
      </x:c>
    </x:row>
    <x:row r="38">
      <x:c r="A38" t="str">
        <x:v>SF44</x:v>
      </x:c>
      <x:c r="B38" t="n">
        <x:v>1</x:v>
      </x:c>
      <x:c r="C38" t="str">
        <x:v>S44</x:v>
      </x:c>
      <x:c r="D38" t="str">
        <x:v>No</x:v>
      </x:c>
      <x:c r="E38" t="str">
        <x:v>No</x:v>
      </x:c>
      <x:c r="F38" t="str">
        <x:v>SINUSE groundwater negotiation</x:v>
      </x:c>
      <x:c r="G38" t="str">
        <x:v>Distinct model/case from SHADOC and CATCHSCAPE despite shared early companion-modelling tradition.</x:v>
      </x:c>
    </x:row>
    <x:row r="39">
      <x:c r="A39" t="str">
        <x:v>SF45</x:v>
      </x:c>
      <x:c r="B39" t="n">
        <x:v>1</x:v>
      </x:c>
      <x:c r="C39" t="str">
        <x:v>S45</x:v>
      </x:c>
      <x:c r="D39" t="str">
        <x:v>No</x:v>
      </x:c>
      <x:c r="E39" t="str">
        <x:v>No</x:v>
      </x:c>
      <x:c r="F39" t="str">
        <x:v>CATCHSCAPE catchment-water management</x:v>
      </x:c>
      <x:c r="G39" t="str">
        <x:v>Distinct model/case from SHADOC and SINUSE.</x:v>
      </x:c>
    </x:row>
    <x:row r="40">
      <x:c r="A40" t="str">
        <x:v>SF46</x:v>
      </x:c>
      <x:c r="B40" t="n">
        <x:v>1</x:v>
      </x:c>
      <x:c r="C40" t="str">
        <x:v>S46</x:v>
      </x:c>
      <x:c r="D40" t="str">
        <x:v>No</x:v>
      </x:c>
      <x:c r="E40" t="str">
        <x:v>No</x:v>
      </x:c>
      <x:c r="F40" t="str">
        <x:v>SHADOC / Senegal River Valley irrigation</x:v>
      </x:c>
      <x:c r="G40" t="str">
        <x:v>S46 is the only retrieved included SHADOC-line publication. B13 is related but not retrieved and is excluded from the final family count.</x:v>
      </x:c>
    </x:row>
    <x:row r="41">
      <x:c r="A41" t="str">
        <x:v>SF47</x:v>
      </x:c>
      <x:c r="B41" t="n">
        <x:v>1</x:v>
      </x:c>
      <x:c r="C41" t="str">
        <x:v>S47</x:v>
      </x:c>
      <x:c r="D41" t="str">
        <x:v>No</x:v>
      </x:c>
      <x:c r="E41" t="str">
        <x:v>No</x:v>
      </x:c>
      <x:c r="F41" t="str">
        <x:v>MP-MAS Uganda application</x:v>
      </x:c>
      <x:c r="G41" t="str">
        <x:v>Distinct empirical MP-MAS application; shared platform alone is not treated as evidence duplication.</x:v>
      </x:c>
    </x:row>
    <x:row r="42">
      <x:c r="A42" t="str">
        <x:v>SF48</x:v>
      </x:c>
      <x:c r="B42" t="n">
        <x:v>1</x:v>
      </x:c>
      <x:c r="C42" t="str">
        <x:v>S48</x:v>
      </x:c>
      <x:c r="D42" t="str">
        <x:v>No</x:v>
      </x:c>
      <x:c r="E42" t="str">
        <x:v>No</x:v>
      </x:c>
      <x:c r="F42" t="str">
        <x:v>Adaptive reservoir-water allocation</x:v>
      </x:c>
      <x:c r="G42" t="str">
        <x:v>Distinct Iranian basin, authors and allocation framework; not merged with other irrigation/water studies.</x:v>
      </x:c>
    </x:row>
    <x:row r="43">
      <x:c r="A43" t="str">
        <x:v>SF49</x:v>
      </x:c>
      <x:c r="B43" t="n">
        <x:v>2</x:v>
      </x:c>
      <x:c r="C43" t="str">
        <x:v>S49; S53</x:v>
      </x:c>
      <x:c r="D43" t="str">
        <x:v>No</x:v>
      </x:c>
      <x:c r="E43" t="str">
        <x:v>Yes</x:v>
      </x:c>
      <x:c r="F43" t="str">
        <x:v>Large-scale irrigation MPC/MARA</x:v>
      </x:c>
      <x:c r="G43" t="str">
        <x:v>S53 is the earlier conference irrigation-MPC/MARA study and S49 is the later journal extension using the same core model/data/research problem.</x:v>
      </x:c>
    </x:row>
    <x:row r="44">
      <x:c r="A44" t="str">
        <x:v>SF50</x:v>
      </x:c>
      <x:c r="B44" t="n">
        <x:v>1</x:v>
      </x:c>
      <x:c r="C44" t="str">
        <x:v>S50</x:v>
      </x:c>
      <x:c r="D44" t="str">
        <x:v>No</x:v>
      </x:c>
      <x:c r="E44" t="str">
        <x:v>No</x:v>
      </x:c>
      <x:c r="F44" t="str">
        <x:v>Agricultural multi-robot task allocation</x:v>
      </x:c>
      <x:c r="G44" t="str">
        <x:v>Distinct authors, algorithm and dataset from other agricultural task-allocation publications.</x:v>
      </x:c>
    </x:row>
    <x:row r="45">
      <x:c r="A45" t="str">
        <x:v>SF51</x:v>
      </x:c>
      <x:c r="B45" t="n">
        <x:v>1</x:v>
      </x:c>
      <x:c r="C45" t="str">
        <x:v>S51</x:v>
      </x:c>
      <x:c r="D45" t="str">
        <x:v>No</x:v>
      </x:c>
      <x:c r="E45" t="str">
        <x:v>No</x:v>
      </x:c>
      <x:c r="F45" t="str">
        <x:v>MAELIA crop-livestock integration</x:v>
      </x:c>
      <x:c r="G45" t="str">
        <x:v>Distinct Vendée seven-farm crop-livestock application; not merged with the MAELIA platform or Aveyron families.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8" hidden="0" customWidth="1"/>
  </x:cols>
  <x:sheetData>
    <x:row r="1">
      <x:c r="A1" s="15" t="str">
        <x:v>Step 6A — Descriptive Statistics: Original 34 vs Final 53 Publications</x:v>
      </x:c>
      <x:c r="B1" s="15"/>
      <x:c r="C1" s="15"/>
      <x:c r="D1" s="15"/>
      <x:c r="E1" s="15"/>
      <x:c r="F1" s="15"/>
      <x:c r="G1" s="15"/>
      <x:c r="H1" s="15"/>
      <x:c r="I1" s="44"/>
      <x:c r="J1" s="44"/>
      <x:c r="K1" s="44"/>
      <x:c r="L1" s="44"/>
      <x:c r="M1" s="44"/>
      <x:c r="N1" s="44"/>
      <x:c r="O1" s="44"/>
      <x:c r="P1" s="44"/>
      <x:c r="Q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22" t="str">
        <x:v>Citation chasing increased the corpus by 19 publications and broadened both historical depth and empirical diversity. Percentages below use publication-level denominators (34 and 53).</x:v>
      </x:c>
      <x:c r="B3" s="22"/>
      <x:c r="C3" s="22"/>
      <x:c r="D3" s="22"/>
      <x:c r="E3" s="22"/>
      <x:c r="F3" s="22"/>
      <x:c r="G3" s="22"/>
      <x:c r="H3" s="22"/>
    </x:row>
    <x:row r="5">
      <x:c r="A5" s="6" t="str">
        <x:v>Metric</x:v>
      </x:c>
      <x:c r="B5" s="6" t="str">
        <x:v>Original corpus</x:v>
      </x:c>
      <x:c r="C5" s="6" t="str">
        <x:v>Final corpus</x:v>
      </x:c>
      <x:c r="D5" s="6" t="str">
        <x:v>Absolute change</x:v>
      </x:c>
      <x:c r="E5" s="6" t="str">
        <x:v>Relative / pp change</x:v>
      </x:c>
      <x:c r="F5" s="6" t="str">
        <x:v>Key interpretation</x:v>
      </x:c>
    </x:row>
    <x:row r="6">
      <x:c r="A6" s="30" t="str">
        <x:v>Publications</x:v>
      </x:c>
      <x:c r="B6" s="30" t="n">
        <x:f>COUNTIF(Study_Coding!$B$2:$B$54,"Original 34")</x:f>
        <x:v>34</x:v>
      </x:c>
      <x:c r="C6" s="30" t="n">
        <x:f>COUNTA(Study_Coding!$A$2:$A$54)</x:f>
        <x:v>53</x:v>
      </x:c>
      <x:c r="D6" s="30" t="n">
        <x:f>C6-B6</x:f>
        <x:v>19</x:v>
      </x:c>
      <x:c r="E6" s="31" t="n">
        <x:f>(C6-B6)/B6</x:f>
        <x:v>0.5588235294117647</x:v>
      </x:c>
      <x:c r="F6" s="30" t="str">
        <x:v>+19 citation-search inclusions</x:v>
      </x:c>
    </x:row>
    <x:row r="7">
      <x:c r="A7" s="30" t="str">
        <x:v>Distinct study families</x:v>
      </x:c>
      <x:c r="B7" s="30" t="n">
        <x:f>COUNTIF(Family_Coding!$D$2:$D$45,"Yes")</x:f>
        <x:v>27</x:v>
      </x:c>
      <x:c r="C7" s="30" t="n">
        <x:f>COUNTA(Family_Coding!$A$2:$A$45)</x:f>
        <x:v>44</x:v>
      </x:c>
      <x:c r="D7" s="30" t="n">
        <x:f>C7-B7</x:f>
        <x:v>17</x:v>
      </x:c>
      <x:c r="E7" s="31" t="n">
        <x:f>(C7-B7)/B7</x:f>
        <x:v>0.6296296296296297</x:v>
      </x:c>
      <x:c r="F7" s="30" t="str">
        <x:v>Publication overlap remains controlled</x:v>
      </x:c>
    </x:row>
    <x:row r="8">
      <x:c r="A8" s="30" t="str">
        <x:v>Median publication year</x:v>
      </x:c>
      <x:c r="B8" s="30" t="n">
        <x:f>MEDIAN(Study_Coding!$C$2:$C$35)</x:f>
        <x:v>2022</x:v>
      </x:c>
      <x:c r="C8" s="30" t="n">
        <x:f>MEDIAN(Study_Coding!$C$2:$C$54)</x:f>
        <x:v>2020</x:v>
      </x:c>
      <x:c r="D8" s="30" t="n">
        <x:f>C8-B8</x:f>
        <x:v>-2</x:v>
      </x:c>
      <x:c r="E8" s="30"/>
      <x:c r="F8" s="30" t="str">
        <x:v>Foundational citation studies extend the review backward</x:v>
      </x:c>
    </x:row>
    <x:row r="9">
      <x:c r="A9" s="30" t="str">
        <x:v>Mean QA total</x:v>
      </x:c>
      <x:c r="B9" s="32" t="n">
        <x:f>SUMIFS(Study_Coding!$N$2:$N$54,Study_Coding!$B$2:$B$54,"Original 34")/34</x:f>
        <x:v>12.764705882352942</x:v>
      </x:c>
      <x:c r="C9" s="32" t="n">
        <x:f>AVERAGE(Study_Coding!$N$2:$N$54)</x:f>
        <x:v>12.943396226415095</x:v>
      </x:c>
      <x:c r="D9" s="32" t="n">
        <x:f>C9-B9</x:f>
        <x:v>0.17869034406215256</x:v>
      </x:c>
      <x:c r="E9" s="30"/>
      <x:c r="F9" s="30" t="str">
        <x:v>Quality remains high after citation chasing</x:v>
      </x:c>
    </x:row>
    <x:row r="12">
      <x:c r="A12" s="6" t="str">
        <x:v>Indicator</x:v>
      </x:c>
      <x:c r="B12" s="6" t="str">
        <x:v>Old count</x:v>
      </x:c>
      <x:c r="C12" s="6" t="str">
        <x:v>Old %</x:v>
      </x:c>
      <x:c r="D12" s="6" t="str">
        <x:v>Final count</x:v>
      </x:c>
      <x:c r="E12" s="6" t="str">
        <x:v>Final %</x:v>
      </x:c>
      <x:c r="F12" s="6" t="str">
        <x:v>Δ count</x:v>
      </x:c>
      <x:c r="G12" s="6" t="str">
        <x:v>Δ percentage points</x:v>
      </x:c>
      <x:c r="H12" s="6" t="str">
        <x:v>Interpretation</x:v>
      </x:c>
    </x:row>
    <x:row r="13">
      <x:c r="A13" s="30" t="str">
        <x:v>Journal articles</x:v>
      </x:c>
      <x:c r="B13" s="30" t="n">
        <x:f>COUNTIFS(Study_Coding!$B$2:$B$54,"Original 34",Study_Coding!$E$2:$E$54,"Journal article")</x:f>
        <x:v>21</x:v>
      </x:c>
      <x:c r="C13" s="31" t="n">
        <x:f>B13/34</x:f>
        <x:v>0.6176470588235294</x:v>
      </x:c>
      <x:c r="D13" s="30" t="n">
        <x:f>COUNTIF(Study_Coding!$E$2:$E$54,"Journal article")</x:f>
        <x:v>37</x:v>
      </x:c>
      <x:c r="E13" s="31" t="n">
        <x:f>D13/53</x:f>
        <x:v>0.6981132075471698</x:v>
      </x:c>
      <x:c r="F13" s="30" t="n">
        <x:f>D13-B13</x:f>
        <x:v>16</x:v>
      </x:c>
      <x:c r="G13" s="31" t="n">
        <x:f>E13-C13</x:f>
        <x:v>0.08046614872364033</x:v>
      </x:c>
      <x:c r="H13" s="30" t="str">
        <x:v>Greater journal representation</x:v>
      </x:c>
    </x:row>
    <x:row r="14">
      <x:c r="A14" s="30" t="str">
        <x:v>Integrated-system studies</x:v>
      </x:c>
      <x:c r="B14" s="30" t="n">
        <x:f>COUNTIFS(Study_Coding!$B$2:$B$54,"Original 34",Study_Coding!$F$2:$F$54,"Integrated-system")</x:f>
        <x:v>13</x:v>
      </x:c>
      <x:c r="C14" s="31" t="n">
        <x:f>B14/34</x:f>
        <x:v>0.38235294117647056</x:v>
      </x:c>
      <x:c r="D14" s="30" t="n">
        <x:f>COUNTIF(Study_Coding!$F$2:$F$54,"Integrated-system")</x:f>
        <x:v>27</x:v>
      </x:c>
      <x:c r="E14" s="31" t="n">
        <x:f>D14/53</x:f>
        <x:v>0.5094339622641509</x:v>
      </x:c>
      <x:c r="F14" s="30" t="n">
        <x:f>D14-B14</x:f>
        <x:v>14</x:v>
      </x:c>
      <x:c r="G14" s="31" t="n">
        <x:f>E14-C14</x:f>
        <x:v>0.12708102108768038</x:v>
      </x:c>
      <x:c r="H14" s="30" t="str">
        <x:v>Stronger integrated-system emphasis</x:v>
      </x:c>
    </x:row>
    <x:row r="15">
      <x:c r="A15" s="30" t="str">
        <x:v>Simulation maturity</x:v>
      </x:c>
      <x:c r="B15" s="30" t="n">
        <x:f>COUNTIFS(Study_Coding!$B$2:$B$54,"Original 34",Study_Coding!$G$2:$G$54,"Simulation")</x:f>
        <x:v>27</x:v>
      </x:c>
      <x:c r="C15" s="31" t="n">
        <x:f>B15/34</x:f>
        <x:v>0.7941176470588235</x:v>
      </x:c>
      <x:c r="D15" s="30" t="n">
        <x:f>COUNTIF(Study_Coding!$G$2:$G$54,"Simulation")</x:f>
        <x:v>46</x:v>
      </x:c>
      <x:c r="E15" s="31" t="n">
        <x:f>D15/53</x:f>
        <x:v>0.8679245283018868</x:v>
      </x:c>
      <x:c r="F15" s="30" t="n">
        <x:f>D15-B15</x:f>
        <x:v>19</x:v>
      </x:c>
      <x:c r="G15" s="31" t="n">
        <x:f>E15-C15</x:f>
        <x:v>0.07380688124306334</x:v>
      </x:c>
      <x:c r="H15" s="30" t="str">
        <x:v>Citation search added mainly simulation studies</x:v>
      </x:c>
    </x:row>
    <x:row r="16">
      <x:c r="A16" s="30" t="str">
        <x:v>Direct sustainability</x:v>
      </x:c>
      <x:c r="B16" s="30" t="n">
        <x:f>COUNTIFS(Study_Coding!$B$2:$B$54,"Original 34",Study_Coding!$I$2:$I$54,"Direct")</x:f>
        <x:v>21</x:v>
      </x:c>
      <x:c r="C16" s="31" t="n">
        <x:f>B16/34</x:f>
        <x:v>0.6176470588235294</x:v>
      </x:c>
      <x:c r="D16" s="30" t="n">
        <x:f>COUNTIF(Study_Coding!$I$2:$I$54,"Direct")</x:f>
        <x:v>39</x:v>
      </x:c>
      <x:c r="E16" s="31" t="n">
        <x:f>D16/53</x:f>
        <x:v>0.7358490566037735</x:v>
      </x:c>
      <x:c r="F16" s="30" t="n">
        <x:f>D16-B16</x:f>
        <x:v>18</x:v>
      </x:c>
      <x:c r="G16" s="31" t="n">
        <x:f>E16-C16</x:f>
        <x:v>0.1182019977802441</x:v>
      </x:c>
      <x:c r="H16" s="30" t="str">
        <x:v>Sustainability becomes more explicit</x:v>
      </x:c>
    </x:row>
    <x:row r="17">
      <x:c r="A17" s="30" t="str">
        <x:v>Resource scarcity/constraint = Yes</x:v>
      </x:c>
      <x:c r="B17" s="30" t="n">
        <x:f>COUNTIFS(Study_Coding!$B$2:$B$54,"Original 34",Study_Coding!$J$2:$J$54,"Yes")</x:f>
        <x:v>31</x:v>
      </x:c>
      <x:c r="C17" s="31" t="n">
        <x:f>B17/34</x:f>
        <x:v>0.9117647058823529</x:v>
      </x:c>
      <x:c r="D17" s="30" t="n">
        <x:f>COUNTIF(Study_Coding!$J$2:$J$54,"Yes")</x:f>
        <x:v>50</x:v>
      </x:c>
      <x:c r="E17" s="31" t="n">
        <x:f>D17/53</x:f>
        <x:v>0.9433962264150944</x:v>
      </x:c>
      <x:c r="F17" s="30" t="n">
        <x:f>D17-B17</x:f>
        <x:v>19</x:v>
      </x:c>
      <x:c r="G17" s="31" t="n">
        <x:f>E17-C17</x:f>
        <x:v>0.03163152053274143</x:v>
      </x:c>
      <x:c r="H17" s="30" t="str">
        <x:v>Constraint-focused MAS remains dominant</x:v>
      </x:c>
    </x:row>
    <x:row r="18">
      <x:c r="A18" s="30" t="str">
        <x:v>Code available = Yes</x:v>
      </x:c>
      <x:c r="B18" s="30" t="n">
        <x:f>COUNTIFS(Study_Coding!$B$2:$B$54,"Original 34",Study_Coding!$L$2:$L$54,"Yes")</x:f>
        <x:v>3</x:v>
      </x:c>
      <x:c r="C18" s="31" t="n">
        <x:f>B18/34</x:f>
        <x:v>0.08823529411764706</x:v>
      </x:c>
      <x:c r="D18" s="30" t="n">
        <x:f>COUNTIF(Study_Coding!$L$2:$L$54,"Yes")</x:f>
        <x:v>8</x:v>
      </x:c>
      <x:c r="E18" s="31" t="n">
        <x:f>D18/53</x:f>
        <x:v>0.1509433962264151</x:v>
      </x:c>
      <x:c r="F18" s="30" t="n">
        <x:f>D18-B18</x:f>
        <x:v>5</x:v>
      </x:c>
      <x:c r="G18" s="31" t="n">
        <x:f>E18-C18</x:f>
        <x:v>0.06270810210876802</x:v>
      </x:c>
      <x:c r="H18" s="30" t="str">
        <x:v>Code availability improves but remains limited</x:v>
      </x:c>
    </x:row>
    <x:row r="19">
      <x:c r="A19" s="30" t="str">
        <x:v>Data available = Yes</x:v>
      </x:c>
      <x:c r="B19" s="30" t="n">
        <x:f>COUNTIFS(Study_Coding!$B$2:$B$54,"Original 34",Study_Coding!$M$2:$M$54,"Yes")</x:f>
        <x:v>6</x:v>
      </x:c>
      <x:c r="C19" s="31" t="n">
        <x:f>B19/34</x:f>
        <x:v>0.17647058823529413</x:v>
      </x:c>
      <x:c r="D19" s="30" t="n">
        <x:f>COUNTIF(Study_Coding!$M$2:$M$54,"Yes")</x:f>
        <x:v>14</x:v>
      </x:c>
      <x:c r="E19" s="31" t="n">
        <x:f>D19/53</x:f>
        <x:v>0.2641509433962264</x:v>
      </x:c>
      <x:c r="F19" s="30" t="n">
        <x:f>D19-B19</x:f>
        <x:v>8</x:v>
      </x:c>
      <x:c r="G19" s="31" t="n">
        <x:f>E19-C19</x:f>
        <x:v>0.08768035516093228</x:v>
      </x:c>
      <x:c r="H19" s="30" t="str">
        <x:v>Data reporting improves</x:v>
      </x:c>
    </x:row>
    <x:row r="20">
      <x:c r="A20" s="30" t="str">
        <x:v>No real-world deployment</x:v>
      </x:c>
      <x:c r="B20" s="30" t="n">
        <x:f>COUNTIFS(Study_Coding!$B$2:$B$54,"Original 34",Study_Coding!$K$2:$K$54,"No")</x:f>
        <x:v>32</x:v>
      </x:c>
      <x:c r="C20" s="31" t="n">
        <x:f>B20/34</x:f>
        <x:v>0.9411764705882353</x:v>
      </x:c>
      <x:c r="D20" s="30" t="n">
        <x:f>COUNTIF(Study_Coding!$K$2:$K$54,"No")</x:f>
        <x:v>51</x:v>
      </x:c>
      <x:c r="E20" s="31" t="n">
        <x:f>D20/53</x:f>
        <x:v>0.9622641509433962</x:v>
      </x:c>
      <x:c r="F20" s="30" t="n">
        <x:f>D20-B20</x:f>
        <x:v>19</x:v>
      </x:c>
      <x:c r="G20" s="31" t="n">
        <x:f>E20-C20</x:f>
        <x:v>0.021087680355160954</x:v>
      </x:c>
      <x:c r="H20" s="30" t="str">
        <x:v>Evidence remains overwhelmingly pre-deployment</x:v>
      </x:c>
    </x:row>
    <x:row r="23">
      <x:c r="A23" s="38" t="str">
        <x:v>Interpretive takeaways</x:v>
      </x:c>
      <x:c r="B23" s="38"/>
      <x:c r="C23" s="38"/>
      <x:c r="D23" s="38"/>
      <x:c r="E23" s="38"/>
      <x:c r="F23" s="38"/>
      <x:c r="G23" s="38"/>
      <x:c r="H23" s="38"/>
    </x:row>
    <x:row r="24">
      <x:c r="A24" s="30" t="str">
        <x:v>• Citation chasing adds five pre-2010 foundational papers, shifting the median publication year from 2022 to 2020 while preserving the 2026 upper bound.</x:v>
      </x:c>
      <x:c r="B24" s="30"/>
      <x:c r="C24" s="30"/>
      <x:c r="D24" s="30"/>
      <x:c r="E24" s="30"/>
      <x:c r="F24" s="30"/>
      <x:c r="G24" s="30"/>
      <x:c r="H24" s="30"/>
    </x:row>
    <x:row r="25">
      <x:c r="A25" s="30" t="str">
        <x:v>• Irrigation/water management remains the largest primary domain and becomes even more dominant in the final corpus.</x:v>
      </x:c>
      <x:c r="B25" s="30"/>
      <x:c r="C25" s="30"/>
      <x:c r="D25" s="30"/>
      <x:c r="E25" s="30"/>
      <x:c r="F25" s="30"/>
      <x:c r="G25" s="30"/>
      <x:c r="H25" s="30"/>
    </x:row>
    <x:row r="26">
      <x:c r="A26" s="30" t="str">
        <x:v>• Integrated-system studies rise substantially, while simulation remains the prevailing implementation maturity.</x:v>
      </x:c>
      <x:c r="B26" s="30"/>
      <x:c r="C26" s="30"/>
      <x:c r="D26" s="30"/>
      <x:c r="E26" s="30"/>
      <x:c r="F26" s="30"/>
      <x:c r="G26" s="30"/>
      <x:c r="H26" s="30"/>
    </x:row>
    <x:row r="27">
      <x:c r="A27" s="30" t="str">
        <x:v>• Direct sustainability coverage increases and resource scarcity/constraint modelling becomes nearly universal.</x:v>
      </x:c>
      <x:c r="B27" s="30"/>
      <x:c r="C27" s="30"/>
      <x:c r="D27" s="30"/>
      <x:c r="E27" s="30"/>
      <x:c r="F27" s="30"/>
      <x:c r="G27" s="30"/>
      <x:c r="H27" s="30"/>
    </x:row>
    <x:row r="28">
      <x:c r="A28" s="30" t="str">
        <x:v>• Reproducibility improves somewhat (more code/data available), but real-world deployment remains extremely rare.</x:v>
      </x:c>
      <x:c r="B28" s="30"/>
      <x:c r="C28" s="30"/>
      <x:c r="D28" s="30"/>
      <x:c r="E28" s="30"/>
      <x:c r="F28" s="30"/>
      <x:c r="G28" s="30"/>
      <x:c r="H28" s="30"/>
    </x:row>
    <x:row r="29">
      <x:c r="A29" s="30" t="str">
        <x:v>• QA remains high: the final-corpus mean is slightly higher than the original-corpus mean.</x:v>
      </x:c>
      <x:c r="B29" s="30"/>
      <x:c r="C29" s="30"/>
      <x:c r="D29" s="30"/>
      <x:c r="E29" s="30"/>
      <x:c r="F29" s="30"/>
      <x:c r="G29" s="30"/>
      <x:c r="H29" s="30"/>
    </x:row>
  </x:sheetData>
  <x:mergeCells>
    <x:mergeCell ref="A1:H2"/>
    <x:mergeCell ref="A3:H3"/>
    <x:mergeCell ref="A23:H23"/>
    <x:mergeCell ref="A24:H24"/>
    <x:mergeCell ref="A25:H25"/>
    <x:mergeCell ref="A26:H26"/>
    <x:mergeCell ref="A27:H27"/>
    <x:mergeCell ref="A28:H28"/>
    <x:mergeCell ref="A29:H2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5" t="str">
        <x:v>Publication-Year Distribution</x:v>
      </x:c>
      <x:c r="B1" s="15"/>
      <x:c r="C1" s="15"/>
      <x:c r="D1" s="15"/>
      <x:c r="E1" s="15"/>
      <x:c r="F1" s="15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</x:row>
    <x:row r="2">
      <x:c r="A2" s="15"/>
      <x:c r="B2" s="15"/>
      <x:c r="C2" s="15"/>
      <x:c r="D2" s="15"/>
      <x:c r="E2" s="15"/>
      <x:c r="F2" s="15"/>
    </x:row>
    <x:row r="4">
      <x:c r="A4" s="6" t="str">
        <x:v>Year</x:v>
      </x:c>
      <x:c r="B4" s="6" t="str">
        <x:v>Original 34</x:v>
      </x:c>
      <x:c r="C4" s="6" t="str">
        <x:v>Final 53</x:v>
      </x:c>
      <x:c r="D4" s="6" t="str">
        <x:v>Added by citation search</x:v>
      </x:c>
      <x:c r="E4" s="6" t="str">
        <x:v>Original %</x:v>
      </x:c>
      <x:c r="F4" s="6" t="str">
        <x:v>Final %</x:v>
      </x:c>
    </x:row>
    <x:row r="5">
      <x:c r="A5" t="n">
        <x:v>2001</x:v>
      </x:c>
      <x:c r="B5" t="n">
        <x:f>COUNTIFS(Study_Coding!$B$2:$B$54,"Original 34",Study_Coding!$C$2:$C$54,A5)</x:f>
        <x:v>0</x:v>
      </x:c>
      <x:c r="C5" t="n">
        <x:f>COUNTIF(Study_Coding!$C$2:$C$54,A5)</x:f>
        <x:v>1</x:v>
      </x:c>
      <x:c r="D5" t="n">
        <x:f>C5-B5</x:f>
        <x:v>1</x:v>
      </x:c>
      <x:c r="E5" s="26" t="n">
        <x:f>B5/34</x:f>
        <x:v>0</x:v>
      </x:c>
      <x:c r="F5" s="26" t="n">
        <x:f>C5/53</x:f>
        <x:v>0.018867924528301886</x:v>
      </x:c>
    </x:row>
    <x:row r="6">
      <x:c r="A6" t="n">
        <x:v>2002</x:v>
      </x:c>
      <x:c r="B6" t="n">
        <x:f>COUNTIFS(Study_Coding!$B$2:$B$54,"Original 34",Study_Coding!$C$2:$C$54,A6)</x:f>
        <x:v>0</x:v>
      </x:c>
      <x:c r="C6" t="n">
        <x:f>COUNTIF(Study_Coding!$C$2:$C$54,A6)</x:f>
        <x:v>0</x:v>
      </x:c>
      <x:c r="D6" t="n">
        <x:f>C6-B6</x:f>
        <x:v>0</x:v>
      </x:c>
      <x:c r="E6" s="26" t="n">
        <x:f>B6/34</x:f>
        <x:v>0</x:v>
      </x:c>
      <x:c r="F6" s="26" t="n">
        <x:f>C6/53</x:f>
        <x:v>0</x:v>
      </x:c>
    </x:row>
    <x:row r="7">
      <x:c r="A7" t="n">
        <x:v>2003</x:v>
      </x:c>
      <x:c r="B7" t="n">
        <x:f>COUNTIFS(Study_Coding!$B$2:$B$54,"Original 34",Study_Coding!$C$2:$C$54,A7)</x:f>
        <x:v>0</x:v>
      </x:c>
      <x:c r="C7" t="n">
        <x:f>COUNTIF(Study_Coding!$C$2:$C$54,A7)</x:f>
        <x:v>2</x:v>
      </x:c>
      <x:c r="D7" t="n">
        <x:f>C7-B7</x:f>
        <x:v>2</x:v>
      </x:c>
      <x:c r="E7" s="26" t="n">
        <x:f>B7/34</x:f>
        <x:v>0</x:v>
      </x:c>
      <x:c r="F7" s="26" t="n">
        <x:f>C7/53</x:f>
        <x:v>0.03773584905660377</x:v>
      </x:c>
    </x:row>
    <x:row r="8">
      <x:c r="A8" t="n">
        <x:v>2004</x:v>
      </x:c>
      <x:c r="B8" t="n">
        <x:f>COUNTIFS(Study_Coding!$B$2:$B$54,"Original 34",Study_Coding!$C$2:$C$54,A8)</x:f>
        <x:v>0</x:v>
      </x:c>
      <x:c r="C8" t="n">
        <x:f>COUNTIF(Study_Coding!$C$2:$C$54,A8)</x:f>
        <x:v>1</x:v>
      </x:c>
      <x:c r="D8" t="n">
        <x:f>C8-B8</x:f>
        <x:v>1</x:v>
      </x:c>
      <x:c r="E8" s="26" t="n">
        <x:f>B8/34</x:f>
        <x:v>0</x:v>
      </x:c>
      <x:c r="F8" s="26" t="n">
        <x:f>C8/53</x:f>
        <x:v>0.018867924528301886</x:v>
      </x:c>
    </x:row>
    <x:row r="9">
      <x:c r="A9" t="n">
        <x:v>2005</x:v>
      </x:c>
      <x:c r="B9" t="n">
        <x:f>COUNTIFS(Study_Coding!$B$2:$B$54,"Original 34",Study_Coding!$C$2:$C$54,A9)</x:f>
        <x:v>0</x:v>
      </x:c>
      <x:c r="C9" t="n">
        <x:f>COUNTIF(Study_Coding!$C$2:$C$54,A9)</x:f>
        <x:v>0</x:v>
      </x:c>
      <x:c r="D9" t="n">
        <x:f>C9-B9</x:f>
        <x:v>0</x:v>
      </x:c>
      <x:c r="E9" s="26" t="n">
        <x:f>B9/34</x:f>
        <x:v>0</x:v>
      </x:c>
      <x:c r="F9" s="26" t="n">
        <x:f>C9/53</x:f>
        <x:v>0</x:v>
      </x:c>
    </x:row>
    <x:row r="10">
      <x:c r="A10" t="n">
        <x:v>2006</x:v>
      </x:c>
      <x:c r="B10" t="n">
        <x:f>COUNTIFS(Study_Coding!$B$2:$B$54,"Original 34",Study_Coding!$C$2:$C$54,A10)</x:f>
        <x:v>0</x:v>
      </x:c>
      <x:c r="C10" t="n">
        <x:f>COUNTIF(Study_Coding!$C$2:$C$54,A10)</x:f>
        <x:v>0</x:v>
      </x:c>
      <x:c r="D10" t="n">
        <x:f>C10-B10</x:f>
        <x:v>0</x:v>
      </x:c>
      <x:c r="E10" s="26" t="n">
        <x:f>B10/34</x:f>
        <x:v>0</x:v>
      </x:c>
      <x:c r="F10" s="26" t="n">
        <x:f>C10/53</x:f>
        <x:v>0</x:v>
      </x:c>
    </x:row>
    <x:row r="11">
      <x:c r="A11" t="n">
        <x:v>2007</x:v>
      </x:c>
      <x:c r="B11" t="n">
        <x:f>COUNTIFS(Study_Coding!$B$2:$B$54,"Original 34",Study_Coding!$C$2:$C$54,A11)</x:f>
        <x:v>0</x:v>
      </x:c>
      <x:c r="C11" t="n">
        <x:f>COUNTIF(Study_Coding!$C$2:$C$54,A11)</x:f>
        <x:v>1</x:v>
      </x:c>
      <x:c r="D11" t="n">
        <x:f>C11-B11</x:f>
        <x:v>1</x:v>
      </x:c>
      <x:c r="E11" s="26" t="n">
        <x:f>B11/34</x:f>
        <x:v>0</x:v>
      </x:c>
      <x:c r="F11" s="26" t="n">
        <x:f>C11/53</x:f>
        <x:v>0.018867924528301886</x:v>
      </x:c>
    </x:row>
    <x:row r="12">
      <x:c r="A12" t="n">
        <x:v>2008</x:v>
      </x:c>
      <x:c r="B12" t="n">
        <x:f>COUNTIFS(Study_Coding!$B$2:$B$54,"Original 34",Study_Coding!$C$2:$C$54,A12)</x:f>
        <x:v>0</x:v>
      </x:c>
      <x:c r="C12" t="n">
        <x:f>COUNTIF(Study_Coding!$C$2:$C$54,A12)</x:f>
        <x:v>0</x:v>
      </x:c>
      <x:c r="D12" t="n">
        <x:f>C12-B12</x:f>
        <x:v>0</x:v>
      </x:c>
      <x:c r="E12" s="26" t="n">
        <x:f>B12/34</x:f>
        <x:v>0</x:v>
      </x:c>
      <x:c r="F12" s="26" t="n">
        <x:f>C12/53</x:f>
        <x:v>0</x:v>
      </x:c>
    </x:row>
    <x:row r="13">
      <x:c r="A13" t="n">
        <x:v>2009</x:v>
      </x:c>
      <x:c r="B13" t="n">
        <x:f>COUNTIFS(Study_Coding!$B$2:$B$54,"Original 34",Study_Coding!$C$2:$C$54,A13)</x:f>
        <x:v>0</x:v>
      </x:c>
      <x:c r="C13" t="n">
        <x:f>COUNTIF(Study_Coding!$C$2:$C$54,A13)</x:f>
        <x:v>0</x:v>
      </x:c>
      <x:c r="D13" t="n">
        <x:f>C13-B13</x:f>
        <x:v>0</x:v>
      </x:c>
      <x:c r="E13" s="26" t="n">
        <x:f>B13/34</x:f>
        <x:v>0</x:v>
      </x:c>
      <x:c r="F13" s="26" t="n">
        <x:f>C13/53</x:f>
        <x:v>0</x:v>
      </x:c>
    </x:row>
    <x:row r="14">
      <x:c r="A14" t="n">
        <x:v>2010</x:v>
      </x:c>
      <x:c r="B14" t="n">
        <x:f>COUNTIFS(Study_Coding!$B$2:$B$54,"Original 34",Study_Coding!$C$2:$C$54,A14)</x:f>
        <x:v>1</x:v>
      </x:c>
      <x:c r="C14" t="n">
        <x:f>COUNTIF(Study_Coding!$C$2:$C$54,A14)</x:f>
        <x:v>1</x:v>
      </x:c>
      <x:c r="D14" t="n">
        <x:f>C14-B14</x:f>
        <x:v>0</x:v>
      </x:c>
      <x:c r="E14" s="26" t="n">
        <x:f>B14/34</x:f>
        <x:v>0.029411764705882353</x:v>
      </x:c>
      <x:c r="F14" s="26" t="n">
        <x:f>C14/53</x:f>
        <x:v>0.018867924528301886</x:v>
      </x:c>
    </x:row>
    <x:row r="15">
      <x:c r="A15" t="n">
        <x:v>2011</x:v>
      </x:c>
      <x:c r="B15" t="n">
        <x:f>COUNTIFS(Study_Coding!$B$2:$B$54,"Original 34",Study_Coding!$C$2:$C$54,A15)</x:f>
        <x:v>1</x:v>
      </x:c>
      <x:c r="C15" t="n">
        <x:f>COUNTIF(Study_Coding!$C$2:$C$54,A15)</x:f>
        <x:v>3</x:v>
      </x:c>
      <x:c r="D15" t="n">
        <x:f>C15-B15</x:f>
        <x:v>2</x:v>
      </x:c>
      <x:c r="E15" s="26" t="n">
        <x:f>B15/34</x:f>
        <x:v>0.029411764705882353</x:v>
      </x:c>
      <x:c r="F15" s="26" t="n">
        <x:f>C15/53</x:f>
        <x:v>0.05660377358490566</x:v>
      </x:c>
    </x:row>
    <x:row r="16">
      <x:c r="A16" t="n">
        <x:v>2012</x:v>
      </x:c>
      <x:c r="B16" t="n">
        <x:f>COUNTIFS(Study_Coding!$B$2:$B$54,"Original 34",Study_Coding!$C$2:$C$54,A16)</x:f>
        <x:v>1</x:v>
      </x:c>
      <x:c r="C16" t="n">
        <x:f>COUNTIF(Study_Coding!$C$2:$C$54,A16)</x:f>
        <x:v>1</x:v>
      </x:c>
      <x:c r="D16" t="n">
        <x:f>C16-B16</x:f>
        <x:v>0</x:v>
      </x:c>
      <x:c r="E16" s="26" t="n">
        <x:f>B16/34</x:f>
        <x:v>0.029411764705882353</x:v>
      </x:c>
      <x:c r="F16" s="26" t="n">
        <x:f>C16/53</x:f>
        <x:v>0.018867924528301886</x:v>
      </x:c>
    </x:row>
    <x:row r="17">
      <x:c r="A17" t="n">
        <x:v>2013</x:v>
      </x:c>
      <x:c r="B17" t="n">
        <x:f>COUNTIFS(Study_Coding!$B$2:$B$54,"Original 34",Study_Coding!$C$2:$C$54,A17)</x:f>
        <x:v>1</x:v>
      </x:c>
      <x:c r="C17" t="n">
        <x:f>COUNTIF(Study_Coding!$C$2:$C$54,A17)</x:f>
        <x:v>1</x:v>
      </x:c>
      <x:c r="D17" t="n">
        <x:f>C17-B17</x:f>
        <x:v>0</x:v>
      </x:c>
      <x:c r="E17" s="26" t="n">
        <x:f>B17/34</x:f>
        <x:v>0.029411764705882353</x:v>
      </x:c>
      <x:c r="F17" s="26" t="n">
        <x:f>C17/53</x:f>
        <x:v>0.018867924528301886</x:v>
      </x:c>
    </x:row>
    <x:row r="18">
      <x:c r="A18" t="n">
        <x:v>2014</x:v>
      </x:c>
      <x:c r="B18" t="n">
        <x:f>COUNTIFS(Study_Coding!$B$2:$B$54,"Original 34",Study_Coding!$C$2:$C$54,A18)</x:f>
        <x:v>2</x:v>
      </x:c>
      <x:c r="C18" t="n">
        <x:f>COUNTIF(Study_Coding!$C$2:$C$54,A18)</x:f>
        <x:v>4</x:v>
      </x:c>
      <x:c r="D18" t="n">
        <x:f>C18-B18</x:f>
        <x:v>2</x:v>
      </x:c>
      <x:c r="E18" s="26" t="n">
        <x:f>B18/34</x:f>
        <x:v>0.058823529411764705</x:v>
      </x:c>
      <x:c r="F18" s="26" t="n">
        <x:f>C18/53</x:f>
        <x:v>0.07547169811320754</x:v>
      </x:c>
    </x:row>
    <x:row r="19">
      <x:c r="A19" t="n">
        <x:v>2015</x:v>
      </x:c>
      <x:c r="B19" t="n">
        <x:f>COUNTIFS(Study_Coding!$B$2:$B$54,"Original 34",Study_Coding!$C$2:$C$54,A19)</x:f>
        <x:v>0</x:v>
      </x:c>
      <x:c r="C19" t="n">
        <x:f>COUNTIF(Study_Coding!$C$2:$C$54,A19)</x:f>
        <x:v>0</x:v>
      </x:c>
      <x:c r="D19" t="n">
        <x:f>C19-B19</x:f>
        <x:v>0</x:v>
      </x:c>
      <x:c r="E19" s="26" t="n">
        <x:f>B19/34</x:f>
        <x:v>0</x:v>
      </x:c>
      <x:c r="F19" s="26" t="n">
        <x:f>C19/53</x:f>
        <x:v>0</x:v>
      </x:c>
    </x:row>
    <x:row r="20">
      <x:c r="A20" t="n">
        <x:v>2016</x:v>
      </x:c>
      <x:c r="B20" t="n">
        <x:f>COUNTIFS(Study_Coding!$B$2:$B$54,"Original 34",Study_Coding!$C$2:$C$54,A20)</x:f>
        <x:v>0</x:v>
      </x:c>
      <x:c r="C20" t="n">
        <x:f>COUNTIF(Study_Coding!$C$2:$C$54,A20)</x:f>
        <x:v>0</x:v>
      </x:c>
      <x:c r="D20" t="n">
        <x:f>C20-B20</x:f>
        <x:v>0</x:v>
      </x:c>
      <x:c r="E20" s="26" t="n">
        <x:f>B20/34</x:f>
        <x:v>0</x:v>
      </x:c>
      <x:c r="F20" s="26" t="n">
        <x:f>C20/53</x:f>
        <x:v>0</x:v>
      </x:c>
    </x:row>
    <x:row r="21">
      <x:c r="A21" t="n">
        <x:v>2017</x:v>
      </x:c>
      <x:c r="B21" t="n">
        <x:f>COUNTIFS(Study_Coding!$B$2:$B$54,"Original 34",Study_Coding!$C$2:$C$54,A21)</x:f>
        <x:v>1</x:v>
      </x:c>
      <x:c r="C21" t="n">
        <x:f>COUNTIF(Study_Coding!$C$2:$C$54,A21)</x:f>
        <x:v>3</x:v>
      </x:c>
      <x:c r="D21" t="n">
        <x:f>C21-B21</x:f>
        <x:v>2</x:v>
      </x:c>
      <x:c r="E21" s="26" t="n">
        <x:f>B21/34</x:f>
        <x:v>0.029411764705882353</x:v>
      </x:c>
      <x:c r="F21" s="26" t="n">
        <x:f>C21/53</x:f>
        <x:v>0.05660377358490566</x:v>
      </x:c>
    </x:row>
    <x:row r="22">
      <x:c r="A22" t="n">
        <x:v>2018</x:v>
      </x:c>
      <x:c r="B22" t="n">
        <x:f>COUNTIFS(Study_Coding!$B$2:$B$54,"Original 34",Study_Coding!$C$2:$C$54,A22)</x:f>
        <x:v>2</x:v>
      </x:c>
      <x:c r="C22" t="n">
        <x:f>COUNTIF(Study_Coding!$C$2:$C$54,A22)</x:f>
        <x:v>3</x:v>
      </x:c>
      <x:c r="D22" t="n">
        <x:f>C22-B22</x:f>
        <x:v>1</x:v>
      </x:c>
      <x:c r="E22" s="26" t="n">
        <x:f>B22/34</x:f>
        <x:v>0.058823529411764705</x:v>
      </x:c>
      <x:c r="F22" s="26" t="n">
        <x:f>C22/53</x:f>
        <x:v>0.05660377358490566</x:v>
      </x:c>
    </x:row>
    <x:row r="23">
      <x:c r="A23" t="n">
        <x:v>2019</x:v>
      </x:c>
      <x:c r="B23" t="n">
        <x:f>COUNTIFS(Study_Coding!$B$2:$B$54,"Original 34",Study_Coding!$C$2:$C$54,A23)</x:f>
        <x:v>3</x:v>
      </x:c>
      <x:c r="C23" t="n">
        <x:f>COUNTIF(Study_Coding!$C$2:$C$54,A23)</x:f>
        <x:v>4</x:v>
      </x:c>
      <x:c r="D23" t="n">
        <x:f>C23-B23</x:f>
        <x:v>1</x:v>
      </x:c>
      <x:c r="E23" s="26" t="n">
        <x:f>B23/34</x:f>
        <x:v>0.08823529411764706</x:v>
      </x:c>
      <x:c r="F23" s="26" t="n">
        <x:f>C23/53</x:f>
        <x:v>0.07547169811320754</x:v>
      </x:c>
    </x:row>
    <x:row r="24">
      <x:c r="A24" t="n">
        <x:v>2020</x:v>
      </x:c>
      <x:c r="B24" t="n">
        <x:f>COUNTIFS(Study_Coding!$B$2:$B$54,"Original 34",Study_Coding!$C$2:$C$54,A24)</x:f>
        <x:v>1</x:v>
      </x:c>
      <x:c r="C24" t="n">
        <x:f>COUNTIF(Study_Coding!$C$2:$C$54,A24)</x:f>
        <x:v>2</x:v>
      </x:c>
      <x:c r="D24" t="n">
        <x:f>C24-B24</x:f>
        <x:v>1</x:v>
      </x:c>
      <x:c r="E24" s="26" t="n">
        <x:f>B24/34</x:f>
        <x:v>0.029411764705882353</x:v>
      </x:c>
      <x:c r="F24" s="26" t="n">
        <x:f>C24/53</x:f>
        <x:v>0.03773584905660377</x:v>
      </x:c>
    </x:row>
    <x:row r="25">
      <x:c r="A25" t="n">
        <x:v>2021</x:v>
      </x:c>
      <x:c r="B25" t="n">
        <x:f>COUNTIFS(Study_Coding!$B$2:$B$54,"Original 34",Study_Coding!$C$2:$C$54,A25)</x:f>
        <x:v>1</x:v>
      </x:c>
      <x:c r="C25" t="n">
        <x:f>COUNTIF(Study_Coding!$C$2:$C$54,A25)</x:f>
        <x:v>2</x:v>
      </x:c>
      <x:c r="D25" t="n">
        <x:f>C25-B25</x:f>
        <x:v>1</x:v>
      </x:c>
      <x:c r="E25" s="26" t="n">
        <x:f>B25/34</x:f>
        <x:v>0.029411764705882353</x:v>
      </x:c>
      <x:c r="F25" s="26" t="n">
        <x:f>C25/53</x:f>
        <x:v>0.03773584905660377</x:v>
      </x:c>
    </x:row>
    <x:row r="26">
      <x:c r="A26" t="n">
        <x:v>2022</x:v>
      </x:c>
      <x:c r="B26" t="n">
        <x:f>COUNTIFS(Study_Coding!$B$2:$B$54,"Original 34",Study_Coding!$C$2:$C$54,A26)</x:f>
        <x:v>4</x:v>
      </x:c>
      <x:c r="C26" t="n">
        <x:f>COUNTIF(Study_Coding!$C$2:$C$54,A26)</x:f>
        <x:v>5</x:v>
      </x:c>
      <x:c r="D26" t="n">
        <x:f>C26-B26</x:f>
        <x:v>1</x:v>
      </x:c>
      <x:c r="E26" s="26" t="n">
        <x:f>B26/34</x:f>
        <x:v>0.11764705882352941</x:v>
      </x:c>
      <x:c r="F26" s="26" t="n">
        <x:f>C26/53</x:f>
        <x:v>0.09433962264150944</x:v>
      </x:c>
    </x:row>
    <x:row r="27">
      <x:c r="A27" t="n">
        <x:v>2023</x:v>
      </x:c>
      <x:c r="B27" t="n">
        <x:f>COUNTIFS(Study_Coding!$B$2:$B$54,"Original 34",Study_Coding!$C$2:$C$54,A27)</x:f>
        <x:v>4</x:v>
      </x:c>
      <x:c r="C27" t="n">
        <x:f>COUNTIF(Study_Coding!$C$2:$C$54,A27)</x:f>
        <x:v>5</x:v>
      </x:c>
      <x:c r="D27" t="n">
        <x:f>C27-B27</x:f>
        <x:v>1</x:v>
      </x:c>
      <x:c r="E27" s="26" t="n">
        <x:f>B27/34</x:f>
        <x:v>0.11764705882352941</x:v>
      </x:c>
      <x:c r="F27" s="26" t="n">
        <x:f>C27/53</x:f>
        <x:v>0.09433962264150944</x:v>
      </x:c>
    </x:row>
    <x:row r="28">
      <x:c r="A28" t="n">
        <x:v>2024</x:v>
      </x:c>
      <x:c r="B28" t="n">
        <x:f>COUNTIFS(Study_Coding!$B$2:$B$54,"Original 34",Study_Coding!$C$2:$C$54,A28)</x:f>
        <x:v>6</x:v>
      </x:c>
      <x:c r="C28" t="n">
        <x:f>COUNTIF(Study_Coding!$C$2:$C$54,A28)</x:f>
        <x:v>7</x:v>
      </x:c>
      <x:c r="D28" t="n">
        <x:f>C28-B28</x:f>
        <x:v>1</x:v>
      </x:c>
      <x:c r="E28" s="26" t="n">
        <x:f>B28/34</x:f>
        <x:v>0.17647058823529413</x:v>
      </x:c>
      <x:c r="F28" s="26" t="n">
        <x:f>C28/53</x:f>
        <x:v>0.1320754716981132</x:v>
      </x:c>
    </x:row>
    <x:row r="29">
      <x:c r="A29" t="n">
        <x:v>2025</x:v>
      </x:c>
      <x:c r="B29" t="n">
        <x:f>COUNTIFS(Study_Coding!$B$2:$B$54,"Original 34",Study_Coding!$C$2:$C$54,A29)</x:f>
        <x:v>1</x:v>
      </x:c>
      <x:c r="C29" t="n">
        <x:f>COUNTIF(Study_Coding!$C$2:$C$54,A29)</x:f>
        <x:v>2</x:v>
      </x:c>
      <x:c r="D29" t="n">
        <x:f>C29-B29</x:f>
        <x:v>1</x:v>
      </x:c>
      <x:c r="E29" s="26" t="n">
        <x:f>B29/34</x:f>
        <x:v>0.029411764705882353</x:v>
      </x:c>
      <x:c r="F29" s="26" t="n">
        <x:f>C29/53</x:f>
        <x:v>0.03773584905660377</x:v>
      </x:c>
    </x:row>
    <x:row r="30">
      <x:c r="A30" t="n">
        <x:v>2026</x:v>
      </x:c>
      <x:c r="B30" t="n">
        <x:f>COUNTIFS(Study_Coding!$B$2:$B$54,"Original 34",Study_Coding!$C$2:$C$54,A30)</x:f>
        <x:v>5</x:v>
      </x:c>
      <x:c r="C30" t="n">
        <x:f>COUNTIF(Study_Coding!$C$2:$C$54,A30)</x:f>
        <x:v>5</x:v>
      </x:c>
      <x:c r="D30" t="n">
        <x:f>C30-B30</x:f>
        <x:v>0</x:v>
      </x:c>
      <x:c r="E30" s="26" t="n">
        <x:f>B30/34</x:f>
        <x:v>0.14705882352941177</x:v>
      </x:c>
      <x:c r="F30" s="26" t="n">
        <x:f>C30/53</x:f>
        <x:v>0.09433962264150944</x:v>
      </x:c>
    </x:row>
  </x:sheetData>
  <x:mergeCells>
    <x:mergeCell ref="A1:F2"/>
  </x:mergeCells>
  <x:pageMargins left="0.7" right="0.7" top="0.75" bottom="0.75" header="0.3" footer="0.3"/>
  <x:drawing xmlns:r="http://schemas.openxmlformats.org/officeDocument/2006/relationships" r:id="R6f104c8ecba64981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5" t="str">
        <x:v>Primary Domains, MAS Architecture, Scope and Maturity</x:v>
      </x:c>
      <x:c r="B1" s="15"/>
      <x:c r="C1" s="15"/>
      <x:c r="D1" s="15"/>
      <x:c r="E1" s="15"/>
      <x:c r="F1" s="15"/>
      <x:c r="G1" s="15"/>
      <x:c r="H1" s="15"/>
      <x:c r="I1" s="44"/>
      <x:c r="J1" s="44"/>
      <x:c r="K1" s="44"/>
      <x:c r="L1" s="44"/>
      <x:c r="M1" s="44"/>
      <x:c r="N1" s="44"/>
      <x:c r="O1" s="44"/>
      <x:c r="P1" s="44"/>
      <x:c r="Q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4">
      <x:c r="A4" s="6" t="str">
        <x:v>Primary domain</x:v>
      </x:c>
      <x:c r="B4" s="6" t="str">
        <x:v>Old count</x:v>
      </x:c>
      <x:c r="C4" s="6" t="str">
        <x:v>Old %</x:v>
      </x:c>
      <x:c r="D4" s="6" t="str">
        <x:v>Final count</x:v>
      </x:c>
      <x:c r="E4" s="6" t="str">
        <x:v>Final %</x:v>
      </x:c>
      <x:c r="F4" s="6" t="str">
        <x:v>Δ count</x:v>
      </x:c>
      <x:c r="G4" s="6" t="str">
        <x:v>Δ pp</x:v>
      </x:c>
    </x:row>
    <x:row r="5">
      <x:c r="A5" t="str">
        <x:v>Irrigation / water management</x:v>
      </x:c>
      <x:c r="B5" t="n">
        <x:f>COUNTIFS(Study_Coding!$B$2:$B$54,"Original 34",Study_Coding!$D$2:$D$54,"Irrigation / water management")</x:f>
        <x:v>14</x:v>
      </x:c>
      <x:c r="C5" s="26" t="n">
        <x:f>B5/34</x:f>
        <x:v>0.4117647058823529</x:v>
      </x:c>
      <x:c r="D5" t="n">
        <x:f>COUNTIF(Study_Coding!$D$2:$D$54,"Irrigation / water management")</x:f>
        <x:v>24</x:v>
      </x:c>
      <x:c r="E5" s="26" t="n">
        <x:f>D5/53</x:f>
        <x:v>0.4528301886792453</x:v>
      </x:c>
      <x:c r="F5" s="26" t="n">
        <x:f>D5-B5</x:f>
        <x:v>10</x:v>
      </x:c>
      <x:c r="G5" s="26" t="n">
        <x:f>E5-C5</x:f>
        <x:v>0.04106548279689237</x:v>
      </x:c>
    </x:row>
    <x:row r="6">
      <x:c r="A6" t="str">
        <x:v>Livestock / integrated farming</x:v>
      </x:c>
      <x:c r="B6" t="n">
        <x:f>COUNTIFS(Study_Coding!$B$2:$B$54,"Original 34",Study_Coding!$D$2:$D$54,"Livestock / integrated farming")</x:f>
        <x:v>5</x:v>
      </x:c>
      <x:c r="C6" s="26" t="n">
        <x:f>B6/34</x:f>
        <x:v>0.14705882352941177</x:v>
      </x:c>
      <x:c r="D6" t="n">
        <x:f>COUNTIF(Study_Coding!$D$2:$D$54,"Livestock / integrated farming")</x:f>
        <x:v>6</x:v>
      </x:c>
      <x:c r="E6" s="26" t="n">
        <x:f>D6/53</x:f>
        <x:v>0.11320754716981132</x:v>
      </x:c>
      <x:c r="F6" s="26" t="n">
        <x:f>D6-B6</x:f>
        <x:v>1</x:v>
      </x:c>
      <x:c r="G6" s="26" t="n">
        <x:f>E6-C6</x:f>
        <x:v>-0.033851276359600446</x:v>
      </x:c>
    </x:row>
    <x:row r="7">
      <x:c r="A7" t="str">
        <x:v>Workforce / robotics / task allocation</x:v>
      </x:c>
      <x:c r="B7" t="n">
        <x:f>COUNTIFS(Study_Coding!$B$2:$B$54,"Original 34",Study_Coding!$D$2:$D$54,"Workforce / robotics / task allocation")</x:f>
        <x:v>5</x:v>
      </x:c>
      <x:c r="C7" s="26" t="n">
        <x:f>B7/34</x:f>
        <x:v>0.14705882352941177</x:v>
      </x:c>
      <x:c r="D7" t="n">
        <x:f>COUNTIF(Study_Coding!$D$2:$D$54,"Workforce / robotics / task allocation")</x:f>
        <x:v>6</x:v>
      </x:c>
      <x:c r="E7" s="26" t="n">
        <x:f>D7/53</x:f>
        <x:v>0.11320754716981132</x:v>
      </x:c>
      <x:c r="F7" s="26" t="n">
        <x:f>D7-B7</x:f>
        <x:v>1</x:v>
      </x:c>
      <x:c r="G7" s="26" t="n">
        <x:f>E7-C7</x:f>
        <x:v>-0.033851276359600446</x:v>
      </x:c>
    </x:row>
    <x:row r="8">
      <x:c r="A8" t="str">
        <x:v>Crop / farm management</x:v>
      </x:c>
      <x:c r="B8" t="n">
        <x:f>COUNTIFS(Study_Coding!$B$2:$B$54,"Original 34",Study_Coding!$D$2:$D$54,"Crop / farm management")</x:f>
        <x:v>4</x:v>
      </x:c>
      <x:c r="C8" s="26" t="n">
        <x:f>B8/34</x:f>
        <x:v>0.11764705882352941</x:v>
      </x:c>
      <x:c r="D8" t="n">
        <x:f>COUNTIF(Study_Coding!$D$2:$D$54,"Crop / farm management")</x:f>
        <x:v>8</x:v>
      </x:c>
      <x:c r="E8" s="26" t="n">
        <x:f>D8/53</x:f>
        <x:v>0.1509433962264151</x:v>
      </x:c>
      <x:c r="F8" s="26" t="n">
        <x:f>D8-B8</x:f>
        <x:v>4</x:v>
      </x:c>
      <x:c r="G8" s="26" t="n">
        <x:f>E8-C8</x:f>
        <x:v>0.03329633740288568</x:v>
      </x:c>
    </x:row>
    <x:row r="9">
      <x:c r="A9" t="str">
        <x:v>Energy / WEF nexus</x:v>
      </x:c>
      <x:c r="B9" t="n">
        <x:f>COUNTIFS(Study_Coding!$B$2:$B$54,"Original 34",Study_Coding!$D$2:$D$54,"Energy / WEF nexus")</x:f>
        <x:v>4</x:v>
      </x:c>
      <x:c r="C9" s="26" t="n">
        <x:f>B9/34</x:f>
        <x:v>0.11764705882352941</x:v>
      </x:c>
      <x:c r="D9" t="n">
        <x:f>COUNTIF(Study_Coding!$D$2:$D$54,"Energy / WEF nexus")</x:f>
        <x:v>5</x:v>
      </x:c>
      <x:c r="E9" s="26" t="n">
        <x:f>D9/53</x:f>
        <x:v>0.09433962264150944</x:v>
      </x:c>
      <x:c r="F9" s="26" t="n">
        <x:f>D9-B9</x:f>
        <x:v>1</x:v>
      </x:c>
      <x:c r="G9" s="26" t="n">
        <x:f>E9-C9</x:f>
        <x:v>-0.02330743618201997</x:v>
      </x:c>
    </x:row>
    <x:row r="10">
      <x:c r="A10" t="str">
        <x:v>Soil / nutrient / environmental management</x:v>
      </x:c>
      <x:c r="B10" t="n">
        <x:f>COUNTIFS(Study_Coding!$B$2:$B$54,"Original 34",Study_Coding!$D$2:$D$54,"Soil / nutrient / environmental management")</x:f>
        <x:v>2</x:v>
      </x:c>
      <x:c r="C10" s="26" t="n">
        <x:f>B10/34</x:f>
        <x:v>0.058823529411764705</x:v>
      </x:c>
      <x:c r="D10" t="n">
        <x:f>COUNTIF(Study_Coding!$D$2:$D$54,"Soil / nutrient / environmental management")</x:f>
        <x:v>4</x:v>
      </x:c>
      <x:c r="E10" s="26" t="n">
        <x:f>D10/53</x:f>
        <x:v>0.07547169811320754</x:v>
      </x:c>
      <x:c r="F10" s="26" t="n">
        <x:f>D10-B10</x:f>
        <x:v>2</x:v>
      </x:c>
      <x:c r="G10" s="26" t="n">
        <x:f>E10-C10</x:f>
        <x:v>0.01664816870144284</x:v>
      </x:c>
    </x:row>
    <x:row r="14">
      <x:c r="A14" s="6" t="str">
        <x:v>MAS architecture</x:v>
      </x:c>
      <x:c r="B14" s="6" t="str">
        <x:v>Old count</x:v>
      </x:c>
      <x:c r="C14" s="6" t="str">
        <x:v>Old %</x:v>
      </x:c>
      <x:c r="D14" s="6" t="str">
        <x:v>Final count</x:v>
      </x:c>
      <x:c r="E14" s="6" t="str">
        <x:v>Final %</x:v>
      </x:c>
      <x:c r="F14" s="6" t="str">
        <x:v>Δ count</x:v>
      </x:c>
      <x:c r="G14" s="6" t="str">
        <x:v>Δ pp</x:v>
      </x:c>
    </x:row>
    <x:row r="15">
      <x:c r="A15" t="str">
        <x:v>Decentralised</x:v>
      </x:c>
      <x:c r="B15" t="n">
        <x:f>COUNTIFS(Study_Coding!$B$2:$B$54,"Original 34",Study_Coding!$H$2:$H$54,"Decentralised")</x:f>
        <x:v>10</x:v>
      </x:c>
      <x:c r="C15" s="26" t="n">
        <x:f>B15/34</x:f>
        <x:v>0.29411764705882354</x:v>
      </x:c>
      <x:c r="D15" t="n">
        <x:f>COUNTIF(Study_Coding!$H$2:$H$54,"Decentralised")</x:f>
        <x:v>17</x:v>
      </x:c>
      <x:c r="E15" s="26" t="n">
        <x:f>D15/53</x:f>
        <x:v>0.32075471698113206</x:v>
      </x:c>
      <x:c r="F15" s="26" t="n">
        <x:f>D15-B15</x:f>
        <x:v>7</x:v>
      </x:c>
      <x:c r="G15" s="26" t="n">
        <x:f>E15-C15</x:f>
        <x:v>0.02663706992230852</x:v>
      </x:c>
    </x:row>
    <x:row r="16">
      <x:c r="A16" t="str">
        <x:v>Hybrid</x:v>
      </x:c>
      <x:c r="B16" t="n">
        <x:f>COUNTIFS(Study_Coding!$B$2:$B$54,"Original 34",Study_Coding!$H$2:$H$54,"Hybrid")</x:f>
        <x:v>8</x:v>
      </x:c>
      <x:c r="C16" s="26" t="n">
        <x:f>B16/34</x:f>
        <x:v>0.23529411764705882</x:v>
      </x:c>
      <x:c r="D16" t="n">
        <x:f>COUNTIF(Study_Coding!$H$2:$H$54,"Hybrid")</x:f>
        <x:v>13</x:v>
      </x:c>
      <x:c r="E16" s="26" t="n">
        <x:f>D16/53</x:f>
        <x:v>0.24528301886792453</x:v>
      </x:c>
      <x:c r="F16" s="26" t="n">
        <x:f>D16-B16</x:f>
        <x:v>5</x:v>
      </x:c>
      <x:c r="G16" s="26" t="n">
        <x:f>E16-C16</x:f>
        <x:v>0.009988901220865709</x:v>
      </x:c>
    </x:row>
    <x:row r="17">
      <x:c r="A17" t="str">
        <x:v>Hierarchical</x:v>
      </x:c>
      <x:c r="B17" t="n">
        <x:f>COUNTIFS(Study_Coding!$B$2:$B$54,"Original 34",Study_Coding!$H$2:$H$54,"Hierarchical")</x:f>
        <x:v>7</x:v>
      </x:c>
      <x:c r="C17" s="26" t="n">
        <x:f>B17/34</x:f>
        <x:v>0.20588235294117646</x:v>
      </x:c>
      <x:c r="D17" t="n">
        <x:f>COUNTIF(Study_Coding!$H$2:$H$54,"Hierarchical")</x:f>
        <x:v>11</x:v>
      </x:c>
      <x:c r="E17" s="26" t="n">
        <x:f>D17/53</x:f>
        <x:v>0.20754716981132076</x:v>
      </x:c>
      <x:c r="F17" s="26" t="n">
        <x:f>D17-B17</x:f>
        <x:v>4</x:v>
      </x:c>
      <x:c r="G17" s="26" t="n">
        <x:f>E17-C17</x:f>
        <x:v>0.0016648168701443034</x:v>
      </x:c>
    </x:row>
    <x:row r="18">
      <x:c r="A18" t="str">
        <x:v>Centralised</x:v>
      </x:c>
      <x:c r="B18" t="n">
        <x:f>COUNTIFS(Study_Coding!$B$2:$B$54,"Original 34",Study_Coding!$H$2:$H$54,"Centralised")</x:f>
        <x:v>7</x:v>
      </x:c>
      <x:c r="C18" s="26" t="n">
        <x:f>B18/34</x:f>
        <x:v>0.20588235294117646</x:v>
      </x:c>
      <x:c r="D18" t="n">
        <x:f>COUNTIF(Study_Coding!$H$2:$H$54,"Centralised")</x:f>
        <x:v>10</x:v>
      </x:c>
      <x:c r="E18" s="26" t="n">
        <x:f>D18/53</x:f>
        <x:v>0.18867924528301888</x:v>
      </x:c>
      <x:c r="F18" s="26" t="n">
        <x:f>D18-B18</x:f>
        <x:v>3</x:v>
      </x:c>
      <x:c r="G18" s="26" t="n">
        <x:f>E18-C18</x:f>
        <x:v>-0.01720310765815758</x:v>
      </x:c>
    </x:row>
    <x:row r="19">
      <x:c r="A19" t="str">
        <x:v>Distributed</x:v>
      </x:c>
      <x:c r="B19" t="n">
        <x:f>COUNTIFS(Study_Coding!$B$2:$B$54,"Original 34",Study_Coding!$H$2:$H$54,"Distributed")</x:f>
        <x:v>2</x:v>
      </x:c>
      <x:c r="C19" s="26" t="n">
        <x:f>B19/34</x:f>
        <x:v>0.058823529411764705</x:v>
      </x:c>
      <x:c r="D19" t="n">
        <x:f>COUNTIF(Study_Coding!$H$2:$H$54,"Distributed")</x:f>
        <x:v>2</x:v>
      </x:c>
      <x:c r="E19" s="26" t="n">
        <x:f>D19/53</x:f>
        <x:v>0.03773584905660377</x:v>
      </x:c>
      <x:c r="F19" s="26" t="n">
        <x:f>D19-B19</x:f>
        <x:v>0</x:v>
      </x:c>
      <x:c r="G19" s="26" t="n">
        <x:f>E19-C19</x:f>
        <x:v>-0.021087680355160933</x:v>
      </x:c>
    </x:row>
    <x:row r="22">
      <x:c r="A22" s="6" t="str">
        <x:v>System integration scope</x:v>
      </x:c>
      <x:c r="B22" s="6" t="str">
        <x:v>Old count</x:v>
      </x:c>
      <x:c r="C22" s="6" t="str">
        <x:v>Old %</x:v>
      </x:c>
      <x:c r="D22" s="6" t="str">
        <x:v>Final count</x:v>
      </x:c>
      <x:c r="E22" s="6" t="str">
        <x:v>Final %</x:v>
      </x:c>
      <x:c r="F22" s="6" t="str">
        <x:v>Δ count</x:v>
      </x:c>
      <x:c r="G22" s="6" t="str">
        <x:v>Δ pp</x:v>
      </x:c>
    </x:row>
    <x:row r="23">
      <x:c r="A23" t="str">
        <x:v>Integrated-system</x:v>
      </x:c>
      <x:c r="B23" t="n">
        <x:f>COUNTIFS(Study_Coding!$B$2:$B$54,"Original 34",Study_Coding!$F$2:$F$54,"Integrated-system")</x:f>
        <x:v>13</x:v>
      </x:c>
      <x:c r="C23" s="26" t="n">
        <x:f>B23/34</x:f>
        <x:v>0.38235294117647056</x:v>
      </x:c>
      <x:c r="D23" t="n">
        <x:f>COUNTIF(Study_Coding!$F$2:$F$54,"Integrated-system")</x:f>
        <x:v>27</x:v>
      </x:c>
      <x:c r="E23" s="26" t="n">
        <x:f>D23/53</x:f>
        <x:v>0.5094339622641509</x:v>
      </x:c>
      <x:c r="F23" s="26" t="n">
        <x:f>D23-B23</x:f>
        <x:v>14</x:v>
      </x:c>
      <x:c r="G23" s="26" t="n">
        <x:f>E23-C23</x:f>
        <x:v>0.12708102108768038</x:v>
      </x:c>
    </x:row>
    <x:row r="24">
      <x:c r="A24" t="str">
        <x:v>Single-domain</x:v>
      </x:c>
      <x:c r="B24" t="n">
        <x:f>COUNTIFS(Study_Coding!$B$2:$B$54,"Original 34",Study_Coding!$F$2:$F$54,"Single-domain")</x:f>
        <x:v>19</x:v>
      </x:c>
      <x:c r="C24" s="26" t="n">
        <x:f>B24/34</x:f>
        <x:v>0.5588235294117647</x:v>
      </x:c>
      <x:c r="D24" t="n">
        <x:f>COUNTIF(Study_Coding!$F$2:$F$54,"Single-domain")</x:f>
        <x:v>23</x:v>
      </x:c>
      <x:c r="E24" s="26" t="n">
        <x:f>D24/53</x:f>
        <x:v>0.4339622641509434</x:v>
      </x:c>
      <x:c r="F24" s="26" t="n">
        <x:f>D24-B24</x:f>
        <x:v>4</x:v>
      </x:c>
      <x:c r="G24" s="26" t="n">
        <x:f>E24-C24</x:f>
        <x:v>-0.12486126526082131</x:v>
      </x:c>
    </x:row>
    <x:row r="25">
      <x:c r="A25" t="str">
        <x:v>Multi-domain</x:v>
      </x:c>
      <x:c r="B25" t="n">
        <x:f>COUNTIFS(Study_Coding!$B$2:$B$54,"Original 34",Study_Coding!$F$2:$F$54,"Multi-domain")</x:f>
        <x:v>2</x:v>
      </x:c>
      <x:c r="C25" s="26" t="n">
        <x:f>B25/34</x:f>
        <x:v>0.058823529411764705</x:v>
      </x:c>
      <x:c r="D25" t="n">
        <x:f>COUNTIF(Study_Coding!$F$2:$F$54,"Multi-domain")</x:f>
        <x:v>3</x:v>
      </x:c>
      <x:c r="E25" s="26" t="n">
        <x:f>D25/53</x:f>
        <x:v>0.05660377358490566</x:v>
      </x:c>
      <x:c r="F25" s="26" t="n">
        <x:f>D25-B25</x:f>
        <x:v>1</x:v>
      </x:c>
      <x:c r="G25" s="26" t="n">
        <x:f>E25-C25</x:f>
        <x:v>-0.0022197558268590434</x:v>
      </x:c>
    </x:row>
    <x:row r="28">
      <x:c r="A28" s="6" t="str">
        <x:v>Implementation maturity</x:v>
      </x:c>
      <x:c r="B28" s="6" t="str">
        <x:v>Old count</x:v>
      </x:c>
      <x:c r="C28" s="6" t="str">
        <x:v>Old %</x:v>
      </x:c>
      <x:c r="D28" s="6" t="str">
        <x:v>Final count</x:v>
      </x:c>
      <x:c r="E28" s="6" t="str">
        <x:v>Final %</x:v>
      </x:c>
      <x:c r="F28" s="6" t="str">
        <x:v>Δ count</x:v>
      </x:c>
      <x:c r="G28" s="6" t="str">
        <x:v>Δ pp</x:v>
      </x:c>
    </x:row>
    <x:row r="29">
      <x:c r="A29" t="str">
        <x:v>Simulation</x:v>
      </x:c>
      <x:c r="B29" t="n">
        <x:f>COUNTIFS(Study_Coding!$B$2:$B$54,"Original 34",Study_Coding!$G$2:$G$54,"Simulation")</x:f>
        <x:v>27</x:v>
      </x:c>
      <x:c r="C29" s="26" t="n">
        <x:f>B29/34</x:f>
        <x:v>0.7941176470588235</x:v>
      </x:c>
      <x:c r="D29" t="n">
        <x:f>COUNTIF(Study_Coding!$G$2:$G$54,"Simulation")</x:f>
        <x:v>46</x:v>
      </x:c>
      <x:c r="E29" s="26" t="n">
        <x:f>D29/53</x:f>
        <x:v>0.8679245283018868</x:v>
      </x:c>
      <x:c r="F29" s="26" t="n">
        <x:f>D29-B29</x:f>
        <x:v>19</x:v>
      </x:c>
      <x:c r="G29" s="26" t="n">
        <x:f>E29-C29</x:f>
        <x:v>0.07380688124306334</x:v>
      </x:c>
    </x:row>
    <x:row r="30">
      <x:c r="A30" t="str">
        <x:v>Prototype</x:v>
      </x:c>
      <x:c r="B30" t="n">
        <x:f>COUNTIFS(Study_Coding!$B$2:$B$54,"Original 34",Study_Coding!$G$2:$G$54,"Prototype")</x:f>
        <x:v>4</x:v>
      </x:c>
      <x:c r="C30" s="26" t="n">
        <x:f>B30/34</x:f>
        <x:v>0.11764705882352941</x:v>
      </x:c>
      <x:c r="D30" t="n">
        <x:f>COUNTIF(Study_Coding!$G$2:$G$54,"Prototype")</x:f>
        <x:v>4</x:v>
      </x:c>
      <x:c r="E30" s="26" t="n">
        <x:f>D30/53</x:f>
        <x:v>0.07547169811320754</x:v>
      </x:c>
      <x:c r="F30" s="26" t="n">
        <x:f>D30-B30</x:f>
        <x:v>0</x:v>
      </x:c>
      <x:c r="G30" s="26" t="n">
        <x:f>E30-C30</x:f>
        <x:v>-0.042175360710321866</x:v>
      </x:c>
    </x:row>
    <x:row r="31">
      <x:c r="A31" t="str">
        <x:v>Field pilot</x:v>
      </x:c>
      <x:c r="B31" t="n">
        <x:f>COUNTIFS(Study_Coding!$B$2:$B$54,"Original 34",Study_Coding!$G$2:$G$54,"Field pilot")</x:f>
        <x:v>2</x:v>
      </x:c>
      <x:c r="C31" s="26" t="n">
        <x:f>B31/34</x:f>
        <x:v>0.058823529411764705</x:v>
      </x:c>
      <x:c r="D31" t="n">
        <x:f>COUNTIF(Study_Coding!$G$2:$G$54,"Field pilot")</x:f>
        <x:v>2</x:v>
      </x:c>
      <x:c r="E31" s="26" t="n">
        <x:f>D31/53</x:f>
        <x:v>0.03773584905660377</x:v>
      </x:c>
      <x:c r="F31" s="26" t="n">
        <x:f>D31-B31</x:f>
        <x:v>0</x:v>
      </x:c>
      <x:c r="G31" s="26" t="n">
        <x:f>E31-C31</x:f>
        <x:v>-0.021087680355160933</x:v>
      </x:c>
    </x:row>
    <x:row r="32">
      <x:c r="A32" t="str">
        <x:v>Controlled experiment</x:v>
      </x:c>
      <x:c r="B32" t="n">
        <x:f>COUNTIFS(Study_Coding!$B$2:$B$54,"Original 34",Study_Coding!$G$2:$G$54,"Controlled experiment")</x:f>
        <x:v>1</x:v>
      </x:c>
      <x:c r="C32" s="26" t="n">
        <x:f>B32/34</x:f>
        <x:v>0.029411764705882353</x:v>
      </x:c>
      <x:c r="D32" t="n">
        <x:f>COUNTIF(Study_Coding!$G$2:$G$54,"Controlled experiment")</x:f>
        <x:v>1</x:v>
      </x:c>
      <x:c r="E32" s="26" t="n">
        <x:f>D32/53</x:f>
        <x:v>0.018867924528301886</x:v>
      </x:c>
      <x:c r="F32" s="26" t="n">
        <x:f>D32-B32</x:f>
        <x:v>0</x:v>
      </x:c>
      <x:c r="G32" s="26" t="n">
        <x:f>E32-C32</x:f>
        <x:v>-0.010543840177580466</x:v>
      </x:c>
    </x:row>
    <x:row r="35">
      <x:c r="A35" s="6" t="str">
        <x:v>Sustainability addressed</x:v>
      </x:c>
      <x:c r="B35" s="6" t="str">
        <x:v>Old count</x:v>
      </x:c>
      <x:c r="C35" s="6" t="str">
        <x:v>Old %</x:v>
      </x:c>
      <x:c r="D35" s="6" t="str">
        <x:v>Final count</x:v>
      </x:c>
      <x:c r="E35" s="6" t="str">
        <x:v>Final %</x:v>
      </x:c>
      <x:c r="F35" s="6" t="str">
        <x:v>Δ count</x:v>
      </x:c>
      <x:c r="G35" s="6" t="str">
        <x:v>Δ pp</x:v>
      </x:c>
    </x:row>
    <x:row r="36">
      <x:c r="A36" t="str">
        <x:v>Direct</x:v>
      </x:c>
      <x:c r="B36" t="n">
        <x:f>COUNTIFS(Study_Coding!$B$2:$B$54,"Original 34",Study_Coding!$I$2:$I$54,"Direct")</x:f>
        <x:v>21</x:v>
      </x:c>
      <x:c r="C36" s="26" t="n">
        <x:f>B36/34</x:f>
        <x:v>0.6176470588235294</x:v>
      </x:c>
      <x:c r="D36" t="n">
        <x:f>COUNTIF(Study_Coding!$I$2:$I$54,"Direct")</x:f>
        <x:v>39</x:v>
      </x:c>
      <x:c r="E36" s="26" t="n">
        <x:f>D36/53</x:f>
        <x:v>0.7358490566037735</x:v>
      </x:c>
      <x:c r="F36" s="26" t="n">
        <x:f>D36-B36</x:f>
        <x:v>18</x:v>
      </x:c>
      <x:c r="G36" s="26" t="n">
        <x:f>E36-C36</x:f>
        <x:v>0.1182019977802441</x:v>
      </x:c>
    </x:row>
    <x:row r="37">
      <x:c r="A37" t="str">
        <x:v>Indirect</x:v>
      </x:c>
      <x:c r="B37" t="n">
        <x:f>COUNTIFS(Study_Coding!$B$2:$B$54,"Original 34",Study_Coding!$I$2:$I$54,"Indirect")</x:f>
        <x:v>11</x:v>
      </x:c>
      <x:c r="C37" s="26" t="n">
        <x:f>B37/34</x:f>
        <x:v>0.3235294117647059</x:v>
      </x:c>
      <x:c r="D37" t="n">
        <x:f>COUNTIF(Study_Coding!$I$2:$I$54,"Indirect")</x:f>
        <x:v>12</x:v>
      </x:c>
      <x:c r="E37" s="26" t="n">
        <x:f>D37/53</x:f>
        <x:v>0.22641509433962265</x:v>
      </x:c>
      <x:c r="F37" s="26" t="n">
        <x:f>D37-B37</x:f>
        <x:v>1</x:v>
      </x:c>
      <x:c r="G37" s="26" t="n">
        <x:f>E37-C37</x:f>
        <x:v>-0.09711431742508325</x:v>
      </x:c>
    </x:row>
    <x:row r="38">
      <x:c r="A38" t="str">
        <x:v>Not addressed</x:v>
      </x:c>
      <x:c r="B38" t="n">
        <x:f>COUNTIFS(Study_Coding!$B$2:$B$54,"Original 34",Study_Coding!$I$2:$I$54,"Not addressed")</x:f>
        <x:v>2</x:v>
      </x:c>
      <x:c r="C38" s="26" t="n">
        <x:f>B38/34</x:f>
        <x:v>0.058823529411764705</x:v>
      </x:c>
      <x:c r="D38" t="n">
        <x:f>COUNTIF(Study_Coding!$I$2:$I$54,"Not addressed")</x:f>
        <x:v>2</x:v>
      </x:c>
      <x:c r="E38" s="26" t="n">
        <x:f>D38/53</x:f>
        <x:v>0.03773584905660377</x:v>
      </x:c>
      <x:c r="F38" s="26" t="n">
        <x:f>D38-B38</x:f>
        <x:v>0</x:v>
      </x:c>
      <x:c r="G38" s="26" t="n">
        <x:f>E38-C38</x:f>
        <x:v>-0.021087680355160933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35d7b990bf8e4600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9" max="9" width="30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15" t="str">
        <x:v>Methods, Interaction, Evaluation and Reproducibility</x:v>
      </x:c>
      <x:c r="B1" s="15"/>
      <x:c r="C1" s="15"/>
      <x:c r="D1" s="15"/>
      <x:c r="E1" s="15"/>
      <x:c r="F1" s="15"/>
      <x:c r="G1" s="15"/>
      <x:c r="H1" s="15"/>
      <x:c r="I1" s="44"/>
      <x:c r="J1" s="44"/>
      <x:c r="K1" s="44"/>
      <x:c r="L1" s="44"/>
      <x:c r="M1" s="44"/>
      <x:c r="N1" s="44"/>
      <x:c r="O1" s="44"/>
      <x:c r="P1" s="44"/>
      <x:c r="Q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4">
      <x:c r="A4" s="6" t="str">
        <x:v>Agent paradigms (multi-label)</x:v>
      </x:c>
      <x:c r="B4" s="6" t="str">
        <x:v>Old count</x:v>
      </x:c>
      <x:c r="C4" s="6" t="str">
        <x:v>Old %</x:v>
      </x:c>
      <x:c r="D4" s="6" t="str">
        <x:v>Final count</x:v>
      </x:c>
      <x:c r="E4" s="6" t="str">
        <x:v>Final %</x:v>
      </x:c>
      <x:c r="F4" s="6" t="str">
        <x:v>Δ count</x:v>
      </x:c>
      <x:c r="G4" s="6" t="str">
        <x:v>Δ pp</x:v>
      </x:c>
      <x:c r="I4" s="6" t="str">
        <x:v>Availability / deployment</x:v>
      </x:c>
      <x:c r="J4" s="6" t="str">
        <x:v>Old count</x:v>
      </x:c>
      <x:c r="K4" s="6" t="str">
        <x:v>Old %</x:v>
      </x:c>
      <x:c r="L4" s="6" t="str">
        <x:v>Final count</x:v>
      </x:c>
      <x:c r="M4" s="6" t="str">
        <x:v>Final %</x:v>
      </x:c>
      <x:c r="N4" s="6" t="str">
        <x:v>Δ count</x:v>
      </x:c>
      <x:c r="O4" s="6" t="str">
        <x:v>Δ pp</x:v>
      </x:c>
    </x:row>
    <x:row r="5">
      <x:c r="A5" t="str">
        <x:v>Rule-based</x:v>
      </x:c>
      <x:c r="B5" t="n">
        <x:f>COUNTIFS(Token_Coding!$B$2:$B$564,"Original 34",Token_Coding!$C$2:$C$564,"Agent paradigm",Token_Coding!$D$2:$D$564,"Rule-based")</x:f>
        <x:v>22</x:v>
      </x:c>
      <x:c r="C5" s="26" t="n">
        <x:f>B5/34</x:f>
        <x:v>0.6470588235294118</x:v>
      </x:c>
      <x:c r="D5" t="n">
        <x:f>COUNTIFS(Token_Coding!$C$2:$C$564,"Agent paradigm",Token_Coding!$D$2:$D$564,"Rule-based")</x:f>
        <x:v>37</x:v>
      </x:c>
      <x:c r="E5" s="26" t="n">
        <x:f>D5/53</x:f>
        <x:v>0.6981132075471698</x:v>
      </x:c>
      <x:c r="F5" s="26" t="n">
        <x:f>D5-B5</x:f>
        <x:v>15</x:v>
      </x:c>
      <x:c r="G5" s="26" t="n">
        <x:f>E5-C5</x:f>
        <x:v>0.05105438401775797</x:v>
      </x:c>
      <x:c r="I5" t="str">
        <x:v>Code available = Yes</x:v>
      </x:c>
      <x:c r="J5" t="n">
        <x:f>COUNTIFS(Study_Coding!$B$2:$B$54,"Original 34",Study_Coding!$L$2:$L$54,"Yes")</x:f>
        <x:v>3</x:v>
      </x:c>
      <x:c r="K5" s="26" t="n">
        <x:f>J5/34</x:f>
        <x:v>0.08823529411764706</x:v>
      </x:c>
      <x:c r="L5" t="n">
        <x:f>COUNTIF(Study_Coding!$L$2:$L$54,"Yes")</x:f>
        <x:v>8</x:v>
      </x:c>
      <x:c r="M5" s="26" t="n">
        <x:f>L5/53</x:f>
        <x:v>0.1509433962264151</x:v>
      </x:c>
      <x:c r="N5" s="26" t="n">
        <x:f>L5-J5</x:f>
        <x:v>5</x:v>
      </x:c>
      <x:c r="O5" s="26" t="n">
        <x:f>M5-K5</x:f>
        <x:v>0.06270810210876802</x:v>
      </x:c>
    </x:row>
    <x:row r="6">
      <x:c r="A6" t="str">
        <x:v>Utility-based</x:v>
      </x:c>
      <x:c r="B6" t="n">
        <x:f>COUNTIFS(Token_Coding!$B$2:$B$564,"Original 34",Token_Coding!$C$2:$C$564,"Agent paradigm",Token_Coding!$D$2:$D$564,"Utility-based")</x:f>
        <x:v>11</x:v>
      </x:c>
      <x:c r="C6" s="26" t="n">
        <x:f>B6/34</x:f>
        <x:v>0.3235294117647059</x:v>
      </x:c>
      <x:c r="D6" t="n">
        <x:f>COUNTIFS(Token_Coding!$C$2:$C$564,"Agent paradigm",Token_Coding!$D$2:$D$564,"Utility-based")</x:f>
        <x:v>20</x:v>
      </x:c>
      <x:c r="E6" s="26" t="n">
        <x:f>D6/53</x:f>
        <x:v>0.37735849056603776</x:v>
      </x:c>
      <x:c r="F6" s="26" t="n">
        <x:f>D6-B6</x:f>
        <x:v>9</x:v>
      </x:c>
      <x:c r="G6" s="26" t="n">
        <x:f>E6-C6</x:f>
        <x:v>0.053829078801331864</x:v>
      </x:c>
      <x:c r="I6" t="str">
        <x:v>Data available = Yes</x:v>
      </x:c>
      <x:c r="J6" t="n">
        <x:f>COUNTIFS(Study_Coding!$B$2:$B$54,"Original 34",Study_Coding!$M$2:$M$54,"Yes")</x:f>
        <x:v>6</x:v>
      </x:c>
      <x:c r="K6" s="26" t="n">
        <x:f>J6/34</x:f>
        <x:v>0.17647058823529413</x:v>
      </x:c>
      <x:c r="L6" t="n">
        <x:f>COUNTIF(Study_Coding!$M$2:$M$54,"Yes")</x:f>
        <x:v>14</x:v>
      </x:c>
      <x:c r="M6" s="26" t="n">
        <x:f>L6/53</x:f>
        <x:v>0.2641509433962264</x:v>
      </x:c>
      <x:c r="N6" s="26" t="n">
        <x:f>L6-J6</x:f>
        <x:v>8</x:v>
      </x:c>
      <x:c r="O6" s="26" t="n">
        <x:f>M6-K6</x:f>
        <x:v>0.08768035516093228</x:v>
      </x:c>
    </x:row>
    <x:row r="7">
      <x:c r="A7" t="str">
        <x:v>Learning-based</x:v>
      </x:c>
      <x:c r="B7" t="n">
        <x:f>COUNTIFS(Token_Coding!$B$2:$B$564,"Original 34",Token_Coding!$C$2:$C$564,"Agent paradigm",Token_Coding!$D$2:$D$564,"Learning-based")</x:f>
        <x:v>10</x:v>
      </x:c>
      <x:c r="C7" s="26" t="n">
        <x:f>B7/34</x:f>
        <x:v>0.29411764705882354</x:v>
      </x:c>
      <x:c r="D7" t="n">
        <x:f>COUNTIFS(Token_Coding!$C$2:$C$564,"Agent paradigm",Token_Coding!$D$2:$D$564,"Learning-based")</x:f>
        <x:v>11</x:v>
      </x:c>
      <x:c r="E7" s="26" t="n">
        <x:f>D7/53</x:f>
        <x:v>0.20754716981132076</x:v>
      </x:c>
      <x:c r="F7" s="26" t="n">
        <x:f>D7-B7</x:f>
        <x:v>1</x:v>
      </x:c>
      <x:c r="G7" s="26" t="n">
        <x:f>E7-C7</x:f>
        <x:v>-0.08657047724750278</x:v>
      </x:c>
      <x:c r="I7" t="str">
        <x:v>Real-world deployment = Yes</x:v>
      </x:c>
      <x:c r="J7" t="n">
        <x:f>COUNTIFS(Study_Coding!$B$2:$B$54,"Original 34",Study_Coding!$K$2:$K$54,"Yes")</x:f>
        <x:v>1</x:v>
      </x:c>
      <x:c r="K7" s="26" t="n">
        <x:f>J7/34</x:f>
        <x:v>0.029411764705882353</x:v>
      </x:c>
      <x:c r="L7" t="n">
        <x:f>COUNTIF(Study_Coding!$K$2:$K$54,"Yes")</x:f>
        <x:v>1</x:v>
      </x:c>
      <x:c r="M7" s="26" t="n">
        <x:f>L7/53</x:f>
        <x:v>0.018867924528301886</x:v>
      </x:c>
      <x:c r="N7" s="26" t="n">
        <x:f>L7-J7</x:f>
        <x:v>0</x:v>
      </x:c>
      <x:c r="O7" s="26" t="n">
        <x:f>M7-K7</x:f>
        <x:v>-0.010543840177580466</x:v>
      </x:c>
    </x:row>
    <x:row r="8">
      <x:c r="A8" t="str">
        <x:v>NR</x:v>
      </x:c>
      <x:c r="B8" t="n">
        <x:f>COUNTIFS(Token_Coding!$B$2:$B$564,"Original 34",Token_Coding!$C$2:$C$564,"Agent paradigm",Token_Coding!$D$2:$D$564,"NR")</x:f>
        <x:v>3</x:v>
      </x:c>
      <x:c r="C8" s="26" t="n">
        <x:f>B8/34</x:f>
        <x:v>0.08823529411764706</x:v>
      </x:c>
      <x:c r="D8" t="n">
        <x:f>COUNTIFS(Token_Coding!$C$2:$C$564,"Agent paradigm",Token_Coding!$D$2:$D$564,"NR")</x:f>
        <x:v>6</x:v>
      </x:c>
      <x:c r="E8" s="26" t="n">
        <x:f>D8/53</x:f>
        <x:v>0.11320754716981132</x:v>
      </x:c>
      <x:c r="F8" s="26" t="n">
        <x:f>D8-B8</x:f>
        <x:v>3</x:v>
      </x:c>
      <x:c r="G8" s="26" t="n">
        <x:f>E8-C8</x:f>
        <x:v>0.02497225305216426</x:v>
      </x:c>
      <x:c r="I8" t="str">
        <x:v>Real-world deployment = Partial</x:v>
      </x:c>
      <x:c r="J8" t="n">
        <x:f>COUNTIFS(Study_Coding!$B$2:$B$54,"Original 34",Study_Coding!$K$2:$K$54,"Partial")</x:f>
        <x:v>1</x:v>
      </x:c>
      <x:c r="K8" s="26" t="n">
        <x:f>J8/34</x:f>
        <x:v>0.029411764705882353</x:v>
      </x:c>
      <x:c r="L8" t="n">
        <x:f>COUNTIF(Study_Coding!$K$2:$K$54,"Partial")</x:f>
        <x:v>1</x:v>
      </x:c>
      <x:c r="M8" s="26" t="n">
        <x:f>L8/53</x:f>
        <x:v>0.018867924528301886</x:v>
      </x:c>
      <x:c r="N8" s="26" t="n">
        <x:f>L8-J8</x:f>
        <x:v>0</x:v>
      </x:c>
      <x:c r="O8" s="26" t="n">
        <x:f>M8-K8</x:f>
        <x:v>-0.010543840177580466</x:v>
      </x:c>
    </x:row>
    <x:row r="9">
      <x:c r="A9" t="str">
        <x:v>BDI</x:v>
      </x:c>
      <x:c r="B9" t="n">
        <x:f>COUNTIFS(Token_Coding!$B$2:$B$564,"Original 34",Token_Coding!$C$2:$C$564,"Agent paradigm",Token_Coding!$D$2:$D$564,"BDI")</x:f>
        <x:v>2</x:v>
      </x:c>
      <x:c r="C9" s="26" t="n">
        <x:f>B9/34</x:f>
        <x:v>0.058823529411764705</x:v>
      </x:c>
      <x:c r="D9" t="n">
        <x:f>COUNTIFS(Token_Coding!$C$2:$C$564,"Agent paradigm",Token_Coding!$D$2:$D$564,"BDI")</x:f>
        <x:v>2</x:v>
      </x:c>
      <x:c r="E9" s="26" t="n">
        <x:f>D9/53</x:f>
        <x:v>0.03773584905660377</x:v>
      </x:c>
      <x:c r="F9" s="26" t="n">
        <x:f>D9-B9</x:f>
        <x:v>0</x:v>
      </x:c>
      <x:c r="G9" s="26" t="n">
        <x:f>E9-C9</x:f>
        <x:v>-0.021087680355160933</x:v>
      </x:c>
      <x:c r="I9" t="str">
        <x:v>Real-world deployment = No</x:v>
      </x:c>
      <x:c r="J9" t="n">
        <x:f>COUNTIFS(Study_Coding!$B$2:$B$54,"Original 34",Study_Coding!$K$2:$K$54,"No")</x:f>
        <x:v>32</x:v>
      </x:c>
      <x:c r="K9" s="26" t="n">
        <x:f>J9/34</x:f>
        <x:v>0.9411764705882353</x:v>
      </x:c>
      <x:c r="L9" t="n">
        <x:f>COUNTIF(Study_Coding!$K$2:$K$54,"No")</x:f>
        <x:v>51</x:v>
      </x:c>
      <x:c r="M9" s="26" t="n">
        <x:f>L9/53</x:f>
        <x:v>0.9622641509433962</x:v>
      </x:c>
      <x:c r="N9" s="26" t="n">
        <x:f>L9-J9</x:f>
        <x:v>19</x:v>
      </x:c>
      <x:c r="O9" s="26" t="n">
        <x:f>M9-K9</x:f>
        <x:v>0.021087680355160954</x:v>
      </x:c>
    </x:row>
    <x:row r="10">
      <x:c r="A10" t="str">
        <x:v>Reactive</x:v>
      </x:c>
      <x:c r="B10" t="n">
        <x:f>COUNTIFS(Token_Coding!$B$2:$B$564,"Original 34",Token_Coding!$C$2:$C$564,"Agent paradigm",Token_Coding!$D$2:$D$564,"Reactive")</x:f>
        <x:v>2</x:v>
      </x:c>
      <x:c r="C10" s="26" t="n">
        <x:f>B10/34</x:f>
        <x:v>0.058823529411764705</x:v>
      </x:c>
      <x:c r="D10" t="n">
        <x:f>COUNTIFS(Token_Coding!$C$2:$C$564,"Agent paradigm",Token_Coding!$D$2:$D$564,"Reactive")</x:f>
        <x:v>2</x:v>
      </x:c>
      <x:c r="E10" s="26" t="n">
        <x:f>D10/53</x:f>
        <x:v>0.03773584905660377</x:v>
      </x:c>
      <x:c r="F10" s="26" t="n">
        <x:f>D10-B10</x:f>
        <x:v>0</x:v>
      </x:c>
      <x:c r="G10" s="26" t="n">
        <x:f>E10-C10</x:f>
        <x:v>-0.021087680355160933</x:v>
      </x:c>
    </x:row>
    <x:row r="11">
      <x:c r="A11" t="str">
        <x:v>LLM-based</x:v>
      </x:c>
      <x:c r="B11" t="n">
        <x:f>COUNTIFS(Token_Coding!$B$2:$B$564,"Original 34",Token_Coding!$C$2:$C$564,"Agent paradigm",Token_Coding!$D$2:$D$564,"LLM-based")</x:f>
        <x:v>1</x:v>
      </x:c>
      <x:c r="C11" s="26" t="n">
        <x:f>B11/34</x:f>
        <x:v>0.029411764705882353</x:v>
      </x:c>
      <x:c r="D11" t="n">
        <x:f>COUNTIFS(Token_Coding!$C$2:$C$564,"Agent paradigm",Token_Coding!$D$2:$D$564,"LLM-based")</x:f>
        <x:v>1</x:v>
      </x:c>
      <x:c r="E11" s="26" t="n">
        <x:f>D11/53</x:f>
        <x:v>0.018867924528301886</x:v>
      </x:c>
      <x:c r="F11" s="26" t="n">
        <x:f>D11-B11</x:f>
        <x:v>0</x:v>
      </x:c>
      <x:c r="G11" s="26" t="n">
        <x:f>E11-C11</x:f>
        <x:v>-0.010543840177580466</x:v>
      </x:c>
    </x:row>
    <x:row r="12">
      <x:c r="A12" t="str">
        <x:v>Case-based reasoning</x:v>
      </x:c>
      <x:c r="B12" t="n">
        <x:f>COUNTIFS(Token_Coding!$B$2:$B$564,"Original 34",Token_Coding!$C$2:$C$564,"Agent paradigm",Token_Coding!$D$2:$D$564,"Case-based reasoning")</x:f>
        <x:v>1</x:v>
      </x:c>
      <x:c r="C12" s="26" t="n">
        <x:f>B12/34</x:f>
        <x:v>0.029411764705882353</x:v>
      </x:c>
      <x:c r="D12" t="n">
        <x:f>COUNTIFS(Token_Coding!$C$2:$C$564,"Agent paradigm",Token_Coding!$D$2:$D$564,"Case-based reasoning")</x:f>
        <x:v>1</x:v>
      </x:c>
      <x:c r="E12" s="26" t="n">
        <x:f>D12/53</x:f>
        <x:v>0.018867924528301886</x:v>
      </x:c>
      <x:c r="F12" s="26" t="n">
        <x:f>D12-B12</x:f>
        <x:v>0</x:v>
      </x:c>
      <x:c r="G12" s="26" t="n">
        <x:f>E12-C12</x:f>
        <x:v>-0.010543840177580466</x:v>
      </x:c>
    </x:row>
    <x:row r="13">
      <x:c r="A13" t="str">
        <x:v>Other behavioural</x:v>
      </x:c>
      <x:c r="B13" t="n">
        <x:f>COUNTIFS(Token_Coding!$B$2:$B$564,"Original 34",Token_Coding!$C$2:$C$564,"Agent paradigm",Token_Coding!$D$2:$D$564,"Other behavioural")</x:f>
        <x:v>1</x:v>
      </x:c>
      <x:c r="C13" s="26" t="n">
        <x:f>B13/34</x:f>
        <x:v>0.029411764705882353</x:v>
      </x:c>
      <x:c r="D13" t="n">
        <x:f>COUNTIFS(Token_Coding!$C$2:$C$564,"Agent paradigm",Token_Coding!$D$2:$D$564,"Other behavioural")</x:f>
        <x:v>1</x:v>
      </x:c>
      <x:c r="E13" s="26" t="n">
        <x:f>D13/53</x:f>
        <x:v>0.018867924528301886</x:v>
      </x:c>
      <x:c r="F13" s="26" t="n">
        <x:f>D13-B13</x:f>
        <x:v>0</x:v>
      </x:c>
      <x:c r="G13" s="26" t="n">
        <x:f>E13-C13</x:f>
        <x:v>-0.010543840177580466</x:v>
      </x:c>
    </x:row>
    <x:row r="16">
      <x:c r="A16" s="6" t="str">
        <x:v>Interaction mechanisms (multi-label)</x:v>
      </x:c>
      <x:c r="B16" s="6" t="str">
        <x:v>Old count</x:v>
      </x:c>
      <x:c r="C16" s="6" t="str">
        <x:v>Old %</x:v>
      </x:c>
      <x:c r="D16" s="6" t="str">
        <x:v>Final count</x:v>
      </x:c>
      <x:c r="E16" s="6" t="str">
        <x:v>Final %</x:v>
      </x:c>
      <x:c r="F16" s="6" t="str">
        <x:v>Δ count</x:v>
      </x:c>
      <x:c r="G16" s="6" t="str">
        <x:v>Δ pp</x:v>
      </x:c>
    </x:row>
    <x:row r="17">
      <x:c r="A17" t="str">
        <x:v>Coordination</x:v>
      </x:c>
      <x:c r="B17" t="n">
        <x:f>COUNTIFS(Token_Coding!$B$2:$B$564,"Original 34",Token_Coding!$C$2:$C$564,"Interaction type",Token_Coding!$D$2:$D$564,"Coordination")</x:f>
        <x:v>31</x:v>
      </x:c>
      <x:c r="C17" s="26" t="n">
        <x:f>B17/34</x:f>
        <x:v>0.9117647058823529</x:v>
      </x:c>
      <x:c r="D17" t="n">
        <x:f>COUNTIFS(Token_Coding!$C$2:$C$564,"Interaction type",Token_Coding!$D$2:$D$564,"Coordination")</x:f>
        <x:v>47</x:v>
      </x:c>
      <x:c r="E17" s="26" t="n">
        <x:f>D17/53</x:f>
        <x:v>0.8867924528301887</x:v>
      </x:c>
      <x:c r="F17" s="26" t="n">
        <x:f>D17-B17</x:f>
        <x:v>16</x:v>
      </x:c>
      <x:c r="G17" s="26" t="n">
        <x:f>E17-C17</x:f>
        <x:v>-0.024972253052164217</x:v>
      </x:c>
    </x:row>
    <x:row r="18">
      <x:c r="A18" t="str">
        <x:v>Information sharing</x:v>
      </x:c>
      <x:c r="B18" t="n">
        <x:f>COUNTIFS(Token_Coding!$B$2:$B$564,"Original 34",Token_Coding!$C$2:$C$564,"Interaction type",Token_Coding!$D$2:$D$564,"Information sharing")</x:f>
        <x:v>17</x:v>
      </x:c>
      <x:c r="C18" s="26" t="n">
        <x:f>B18/34</x:f>
        <x:v>0.5</x:v>
      </x:c>
      <x:c r="D18" t="n">
        <x:f>COUNTIFS(Token_Coding!$C$2:$C$564,"Interaction type",Token_Coding!$D$2:$D$564,"Information sharing")</x:f>
        <x:v>33</x:v>
      </x:c>
      <x:c r="E18" s="26" t="n">
        <x:f>D18/53</x:f>
        <x:v>0.6226415094339622</x:v>
      </x:c>
      <x:c r="F18" s="26" t="n">
        <x:f>D18-B18</x:f>
        <x:v>16</x:v>
      </x:c>
      <x:c r="G18" s="26" t="n">
        <x:f>E18-C18</x:f>
        <x:v>0.12264150943396224</x:v>
      </x:c>
    </x:row>
    <x:row r="19">
      <x:c r="A19" t="str">
        <x:v>Communication</x:v>
      </x:c>
      <x:c r="B19" t="n">
        <x:f>COUNTIFS(Token_Coding!$B$2:$B$564,"Original 34",Token_Coding!$C$2:$C$564,"Interaction type",Token_Coding!$D$2:$D$564,"Communication")</x:f>
        <x:v>21</x:v>
      </x:c>
      <x:c r="C19" s="26" t="n">
        <x:f>B19/34</x:f>
        <x:v>0.6176470588235294</x:v>
      </x:c>
      <x:c r="D19" t="n">
        <x:f>COUNTIFS(Token_Coding!$C$2:$C$564,"Interaction type",Token_Coding!$D$2:$D$564,"Communication")</x:f>
        <x:v>30</x:v>
      </x:c>
      <x:c r="E19" s="26" t="n">
        <x:f>D19/53</x:f>
        <x:v>0.5660377358490566</x:v>
      </x:c>
      <x:c r="F19" s="26" t="n">
        <x:f>D19-B19</x:f>
        <x:v>9</x:v>
      </x:c>
      <x:c r="G19" s="26" t="n">
        <x:f>E19-C19</x:f>
        <x:v>-0.05160932297447285</x:v>
      </x:c>
    </x:row>
    <x:row r="20">
      <x:c r="A20" t="str">
        <x:v>Competition</x:v>
      </x:c>
      <x:c r="B20" t="n">
        <x:f>COUNTIFS(Token_Coding!$B$2:$B$564,"Original 34",Token_Coding!$C$2:$C$564,"Interaction type",Token_Coding!$D$2:$D$564,"Competition")</x:f>
        <x:v>13</x:v>
      </x:c>
      <x:c r="C20" s="26" t="n">
        <x:f>B20/34</x:f>
        <x:v>0.38235294117647056</x:v>
      </x:c>
      <x:c r="D20" t="n">
        <x:f>COUNTIFS(Token_Coding!$C$2:$C$564,"Interaction type",Token_Coding!$D$2:$D$564,"Competition")</x:f>
        <x:v>23</x:v>
      </x:c>
      <x:c r="E20" s="26" t="n">
        <x:f>D20/53</x:f>
        <x:v>0.4339622641509434</x:v>
      </x:c>
      <x:c r="F20" s="26" t="n">
        <x:f>D20-B20</x:f>
        <x:v>10</x:v>
      </x:c>
      <x:c r="G20" s="26" t="n">
        <x:f>E20-C20</x:f>
        <x:v>0.05160932297447285</x:v>
      </x:c>
    </x:row>
    <x:row r="21">
      <x:c r="A21" t="str">
        <x:v>Cooperation</x:v>
      </x:c>
      <x:c r="B21" t="n">
        <x:f>COUNTIFS(Token_Coding!$B$2:$B$564,"Original 34",Token_Coding!$C$2:$C$564,"Interaction type",Token_Coding!$D$2:$D$564,"Cooperation")</x:f>
        <x:v>11</x:v>
      </x:c>
      <x:c r="C21" s="26" t="n">
        <x:f>B21/34</x:f>
        <x:v>0.3235294117647059</x:v>
      </x:c>
      <x:c r="D21" t="n">
        <x:f>COUNTIFS(Token_Coding!$C$2:$C$564,"Interaction type",Token_Coding!$D$2:$D$564,"Cooperation")</x:f>
        <x:v>18</x:v>
      </x:c>
      <x:c r="E21" s="26" t="n">
        <x:f>D21/53</x:f>
        <x:v>0.33962264150943394</x:v>
      </x:c>
      <x:c r="F21" s="26" t="n">
        <x:f>D21-B21</x:f>
        <x:v>7</x:v>
      </x:c>
      <x:c r="G21" s="26" t="n">
        <x:f>E21-C21</x:f>
        <x:v>0.016093229744728044</x:v>
      </x:c>
    </x:row>
    <x:row r="22">
      <x:c r="A22" t="str">
        <x:v>Task allocation</x:v>
      </x:c>
      <x:c r="B22" t="n">
        <x:f>COUNTIFS(Token_Coding!$B$2:$B$564,"Original 34",Token_Coding!$C$2:$C$564,"Interaction type",Token_Coding!$D$2:$D$564,"Task allocation")</x:f>
        <x:v>10</x:v>
      </x:c>
      <x:c r="C22" s="26" t="n">
        <x:f>B22/34</x:f>
        <x:v>0.29411764705882354</x:v>
      </x:c>
      <x:c r="D22" t="n">
        <x:f>COUNTIFS(Token_Coding!$C$2:$C$564,"Interaction type",Token_Coding!$D$2:$D$564,"Task allocation")</x:f>
        <x:v>13</x:v>
      </x:c>
      <x:c r="E22" s="26" t="n">
        <x:f>D22/53</x:f>
        <x:v>0.24528301886792453</x:v>
      </x:c>
      <x:c r="F22" s="26" t="n">
        <x:f>D22-B22</x:f>
        <x:v>3</x:v>
      </x:c>
      <x:c r="G22" s="26" t="n">
        <x:f>E22-C22</x:f>
        <x:v>-0.04883462819089901</x:v>
      </x:c>
    </x:row>
    <x:row r="23">
      <x:c r="A23" t="str">
        <x:v>Negotiation</x:v>
      </x:c>
      <x:c r="B23" t="n">
        <x:f>COUNTIFS(Token_Coding!$B$2:$B$564,"Original 34",Token_Coding!$C$2:$C$564,"Interaction type",Token_Coding!$D$2:$D$564,"Negotiation")</x:f>
        <x:v>8</x:v>
      </x:c>
      <x:c r="C23" s="26" t="n">
        <x:f>B23/34</x:f>
        <x:v>0.23529411764705882</x:v>
      </x:c>
      <x:c r="D23" t="n">
        <x:f>COUNTIFS(Token_Coding!$C$2:$C$564,"Interaction type",Token_Coding!$D$2:$D$564,"Negotiation")</x:f>
        <x:v>9</x:v>
      </x:c>
      <x:c r="E23" s="26" t="n">
        <x:f>D23/53</x:f>
        <x:v>0.16981132075471697</x:v>
      </x:c>
      <x:c r="F23" s="26" t="n">
        <x:f>D23-B23</x:f>
        <x:v>1</x:v>
      </x:c>
      <x:c r="G23" s="26" t="n">
        <x:f>E23-C23</x:f>
        <x:v>-0.06548279689234185</x:v>
      </x:c>
    </x:row>
    <x:row r="24">
      <x:c r="A24" t="str">
        <x:v>Resource allocation</x:v>
      </x:c>
      <x:c r="B24" t="n">
        <x:f>COUNTIFS(Token_Coding!$B$2:$B$564,"Original 34",Token_Coding!$C$2:$C$564,"Interaction type",Token_Coding!$D$2:$D$564,"Resource allocation")</x:f>
        <x:v>2</x:v>
      </x:c>
      <x:c r="C24" s="26" t="n">
        <x:f>B24/34</x:f>
        <x:v>0.058823529411764705</x:v>
      </x:c>
      <x:c r="D24" t="n">
        <x:f>COUNTIFS(Token_Coding!$C$2:$C$564,"Interaction type",Token_Coding!$D$2:$D$564,"Resource allocation")</x:f>
        <x:v>2</x:v>
      </x:c>
      <x:c r="E24" s="26" t="n">
        <x:f>D24/53</x:f>
        <x:v>0.03773584905660377</x:v>
      </x:c>
      <x:c r="F24" s="26" t="n">
        <x:f>D24-B24</x:f>
        <x:v>0</x:v>
      </x:c>
      <x:c r="G24" s="26" t="n">
        <x:f>E24-C24</x:f>
        <x:v>-0.021087680355160933</x:v>
      </x:c>
    </x:row>
    <x:row r="25">
      <x:c r="A25" t="str">
        <x:v>Environment-mediated interaction</x:v>
      </x:c>
      <x:c r="B25" t="n">
        <x:f>COUNTIFS(Token_Coding!$B$2:$B$564,"Original 34",Token_Coding!$C$2:$C$564,"Interaction type",Token_Coding!$D$2:$D$564,"Environment-mediated interaction")</x:f>
        <x:v>1</x:v>
      </x:c>
      <x:c r="C25" s="26" t="n">
        <x:f>B25/34</x:f>
        <x:v>0.029411764705882353</x:v>
      </x:c>
      <x:c r="D25" t="n">
        <x:f>COUNTIFS(Token_Coding!$C$2:$C$564,"Interaction type",Token_Coding!$D$2:$D$564,"Environment-mediated interaction")</x:f>
        <x:v>1</x:v>
      </x:c>
      <x:c r="E25" s="26" t="n">
        <x:f>D25/53</x:f>
        <x:v>0.018867924528301886</x:v>
      </x:c>
      <x:c r="F25" s="26" t="n">
        <x:f>D25-B25</x:f>
        <x:v>0</x:v>
      </x:c>
      <x:c r="G25" s="26" t="n">
        <x:f>E25-C25</x:f>
        <x:v>-0.010543840177580466</x:v>
      </x:c>
    </x:row>
    <x:row r="26">
      <x:c r="A26" t="str">
        <x:v>Indirect interaction</x:v>
      </x:c>
      <x:c r="B26" t="n">
        <x:f>COUNTIFS(Token_Coding!$B$2:$B$564,"Original 34",Token_Coding!$C$2:$C$564,"Interaction type",Token_Coding!$D$2:$D$564,"Indirect interaction")</x:f>
        <x:v>1</x:v>
      </x:c>
      <x:c r="C26" s="26" t="n">
        <x:f>B26/34</x:f>
        <x:v>0.029411764705882353</x:v>
      </x:c>
      <x:c r="D26" t="n">
        <x:f>COUNTIFS(Token_Coding!$C$2:$C$564,"Interaction type",Token_Coding!$D$2:$D$564,"Indirect interaction")</x:f>
        <x:v>1</x:v>
      </x:c>
      <x:c r="E26" s="26" t="n">
        <x:f>D26/53</x:f>
        <x:v>0.018867924528301886</x:v>
      </x:c>
      <x:c r="F26" s="26" t="n">
        <x:f>D26-B26</x:f>
        <x:v>0</x:v>
      </x:c>
      <x:c r="G26" s="26" t="n">
        <x:f>E26-C26</x:f>
        <x:v>-0.010543840177580466</x:v>
      </x:c>
    </x:row>
    <x:row r="29">
      <x:c r="A29" s="6" t="str">
        <x:v>Evaluation features (multi-label)</x:v>
      </x:c>
      <x:c r="B29" s="6" t="str">
        <x:v>Old count</x:v>
      </x:c>
      <x:c r="C29" s="6" t="str">
        <x:v>Old %</x:v>
      </x:c>
      <x:c r="D29" s="6" t="str">
        <x:v>Final count</x:v>
      </x:c>
      <x:c r="E29" s="6" t="str">
        <x:v>Final %</x:v>
      </x:c>
      <x:c r="F29" s="6" t="str">
        <x:v>Δ count</x:v>
      </x:c>
      <x:c r="G29" s="6" t="str">
        <x:v>Δ pp</x:v>
      </x:c>
    </x:row>
    <x:row r="30">
      <x:c r="A30" t="str">
        <x:v>Simulation</x:v>
      </x:c>
      <x:c r="B30" t="n">
        <x:f>COUNTIFS(Token_Coding!$B$2:$B$564,"Original 34",Token_Coding!$C$2:$C$564,"Evaluation feature",Token_Coding!$D$2:$D$564,"Simulation")</x:f>
        <x:v>31</x:v>
      </x:c>
      <x:c r="C30" s="26" t="n">
        <x:f>B30/34</x:f>
        <x:v>0.9117647058823529</x:v>
      </x:c>
      <x:c r="D30" t="n">
        <x:f>COUNTIFS(Token_Coding!$C$2:$C$564,"Evaluation feature",Token_Coding!$D$2:$D$564,"Simulation")</x:f>
        <x:v>50</x:v>
      </x:c>
      <x:c r="E30" s="26" t="n">
        <x:f>D30/53</x:f>
        <x:v>0.9433962264150944</x:v>
      </x:c>
      <x:c r="F30" s="26" t="n">
        <x:f>D30-B30</x:f>
        <x:v>19</x:v>
      </x:c>
      <x:c r="G30" s="26" t="n">
        <x:f>E30-C30</x:f>
        <x:v>0.03163152053274143</x:v>
      </x:c>
    </x:row>
    <x:row r="31">
      <x:c r="A31" t="str">
        <x:v>Case study</x:v>
      </x:c>
      <x:c r="B31" t="n">
        <x:f>COUNTIFS(Token_Coding!$B$2:$B$564,"Original 34",Token_Coding!$C$2:$C$564,"Evaluation feature",Token_Coding!$D$2:$D$564,"Case study")</x:f>
        <x:v>22</x:v>
      </x:c>
      <x:c r="C31" s="26" t="n">
        <x:f>B31/34</x:f>
        <x:v>0.6470588235294118</x:v>
      </x:c>
      <x:c r="D31" t="n">
        <x:f>COUNTIFS(Token_Coding!$C$2:$C$564,"Evaluation feature",Token_Coding!$D$2:$D$564,"Case study")</x:f>
        <x:v>37</x:v>
      </x:c>
      <x:c r="E31" s="26" t="n">
        <x:f>D31/53</x:f>
        <x:v>0.6981132075471698</x:v>
      </x:c>
      <x:c r="F31" s="26" t="n">
        <x:f>D31-B31</x:f>
        <x:v>15</x:v>
      </x:c>
      <x:c r="G31" s="26" t="n">
        <x:f>E31-C31</x:f>
        <x:v>0.05105438401775797</x:v>
      </x:c>
    </x:row>
    <x:row r="32">
      <x:c r="A32" t="str">
        <x:v>Comparative evaluation/experiment</x:v>
      </x:c>
      <x:c r="B32" t="n">
        <x:f>COUNTIFS(Token_Coding!$B$2:$B$564,"Original 34",Token_Coding!$C$2:$C$564,"Evaluation feature",Token_Coding!$D$2:$D$564,"Comparative evaluation/experiment")</x:f>
        <x:v>9</x:v>
      </x:c>
      <x:c r="C32" s="26" t="n">
        <x:f>B32/34</x:f>
        <x:v>0.2647058823529412</x:v>
      </x:c>
      <x:c r="D32" t="n">
        <x:f>COUNTIFS(Token_Coding!$C$2:$C$564,"Evaluation feature",Token_Coding!$D$2:$D$564,"Comparative evaluation/experiment")</x:f>
        <x:v>22</x:v>
      </x:c>
      <x:c r="E32" s="26" t="n">
        <x:f>D32/53</x:f>
        <x:v>0.41509433962264153</x:v>
      </x:c>
      <x:c r="F32" s="26" t="n">
        <x:f>D32-B32</x:f>
        <x:v>13</x:v>
      </x:c>
      <x:c r="G32" s="26" t="n">
        <x:f>E32-C32</x:f>
        <x:v>0.15038845726970035</x:v>
      </x:c>
    </x:row>
    <x:row r="33">
      <x:c r="A33" t="str">
        <x:v>Calibration/validation</x:v>
      </x:c>
      <x:c r="B33" t="n">
        <x:f>COUNTIFS(Token_Coding!$B$2:$B$564,"Original 34",Token_Coding!$C$2:$C$564,"Evaluation feature",Token_Coding!$D$2:$D$564,"Calibration/validation")</x:f>
        <x:v>5</x:v>
      </x:c>
      <x:c r="C33" s="26" t="n">
        <x:f>B33/34</x:f>
        <x:v>0.14705882352941177</x:v>
      </x:c>
      <x:c r="D33" t="n">
        <x:f>COUNTIFS(Token_Coding!$C$2:$C$564,"Evaluation feature",Token_Coding!$D$2:$D$564,"Calibration/validation")</x:f>
        <x:v>15</x:v>
      </x:c>
      <x:c r="E33" s="26" t="n">
        <x:f>D33/53</x:f>
        <x:v>0.2830188679245283</x:v>
      </x:c>
      <x:c r="F33" s="26" t="n">
        <x:f>D33-B33</x:f>
        <x:v>10</x:v>
      </x:c>
      <x:c r="G33" s="26" t="n">
        <x:f>E33-C33</x:f>
        <x:v>0.13596004439511652</x:v>
      </x:c>
    </x:row>
    <x:row r="34">
      <x:c r="A34" t="str">
        <x:v>Sensitivity/uncertainty analysis</x:v>
      </x:c>
      <x:c r="B34" t="n">
        <x:f>COUNTIFS(Token_Coding!$B$2:$B$564,"Original 34",Token_Coding!$C$2:$C$564,"Evaluation feature",Token_Coding!$D$2:$D$564,"Sensitivity/uncertainty analysis")</x:f>
        <x:v>5</x:v>
      </x:c>
      <x:c r="C34" s="26" t="n">
        <x:f>B34/34</x:f>
        <x:v>0.14705882352941177</x:v>
      </x:c>
      <x:c r="D34" t="n">
        <x:f>COUNTIFS(Token_Coding!$C$2:$C$564,"Evaluation feature",Token_Coding!$D$2:$D$564,"Sensitivity/uncertainty analysis")</x:f>
        <x:v>11</x:v>
      </x:c>
      <x:c r="E34" s="26" t="n">
        <x:f>D34/53</x:f>
        <x:v>0.20754716981132076</x:v>
      </x:c>
      <x:c r="F34" s="26" t="n">
        <x:f>D34-B34</x:f>
        <x:v>6</x:v>
      </x:c>
      <x:c r="G34" s="26" t="n">
        <x:f>E34-C34</x:f>
        <x:v>0.060488346281908995</x:v>
      </x:c>
    </x:row>
    <x:row r="35">
      <x:c r="A35" t="str">
        <x:v>Policy/scenario evaluation</x:v>
      </x:c>
      <x:c r="B35" t="n">
        <x:f>COUNTIFS(Token_Coding!$B$2:$B$564,"Original 34",Token_Coding!$C$2:$C$564,"Evaluation feature",Token_Coding!$D$2:$D$564,"Policy/scenario evaluation")</x:f>
        <x:v>2</x:v>
      </x:c>
      <x:c r="C35" s="26" t="n">
        <x:f>B35/34</x:f>
        <x:v>0.058823529411764705</x:v>
      </x:c>
      <x:c r="D35" t="n">
        <x:f>COUNTIFS(Token_Coding!$C$2:$C$564,"Evaluation feature",Token_Coding!$D$2:$D$564,"Policy/scenario evaluation")</x:f>
        <x:v>4</x:v>
      </x:c>
      <x:c r="E35" s="26" t="n">
        <x:f>D35/53</x:f>
        <x:v>0.07547169811320754</x:v>
      </x:c>
      <x:c r="F35" s="26" t="n">
        <x:f>D35-B35</x:f>
        <x:v>2</x:v>
      </x:c>
      <x:c r="G35" s="26" t="n">
        <x:f>E35-C35</x:f>
        <x:v>0.01664816870144284</x:v>
      </x:c>
    </x:row>
    <x:row r="36">
      <x:c r="A36" t="str">
        <x:v>Field evaluation/pilot</x:v>
      </x:c>
      <x:c r="B36" t="n">
        <x:f>COUNTIFS(Token_Coding!$B$2:$B$564,"Original 34",Token_Coding!$C$2:$C$564,"Evaluation feature",Token_Coding!$D$2:$D$564,"Field evaluation/pilot")</x:f>
        <x:v>2</x:v>
      </x:c>
      <x:c r="C36" s="26" t="n">
        <x:f>B36/34</x:f>
        <x:v>0.058823529411764705</x:v>
      </x:c>
      <x:c r="D36" t="n">
        <x:f>COUNTIFS(Token_Coding!$C$2:$C$564,"Evaluation feature",Token_Coding!$D$2:$D$564,"Field evaluation/pilot")</x:f>
        <x:v>2</x:v>
      </x:c>
      <x:c r="E36" s="26" t="n">
        <x:f>D36/53</x:f>
        <x:v>0.03773584905660377</x:v>
      </x:c>
      <x:c r="F36" s="26" t="n">
        <x:f>D36-B36</x:f>
        <x:v>0</x:v>
      </x:c>
      <x:c r="G36" s="26" t="n">
        <x:f>E36-C36</x:f>
        <x:v>-0.021087680355160933</x:v>
      </x:c>
    </x:row>
    <x:row r="37">
      <x:c r="A37" t="str">
        <x:v>Prototype/proof-of-concept</x:v>
      </x:c>
      <x:c r="B37" t="n">
        <x:f>COUNTIFS(Token_Coding!$B$2:$B$564,"Original 34",Token_Coding!$C$2:$C$564,"Evaluation feature",Token_Coding!$D$2:$D$564,"Prototype/proof-of-concept")</x:f>
        <x:v>2</x:v>
      </x:c>
      <x:c r="C37" s="26" t="n">
        <x:f>B37/34</x:f>
        <x:v>0.058823529411764705</x:v>
      </x:c>
      <x:c r="D37" t="n">
        <x:f>COUNTIFS(Token_Coding!$C$2:$C$564,"Evaluation feature",Token_Coding!$D$2:$D$564,"Prototype/proof-of-concept")</x:f>
        <x:v>2</x:v>
      </x:c>
      <x:c r="E37" s="26" t="n">
        <x:f>D37/53</x:f>
        <x:v>0.03773584905660377</x:v>
      </x:c>
      <x:c r="F37" s="26" t="n">
        <x:f>D37-B37</x:f>
        <x:v>0</x:v>
      </x:c>
      <x:c r="G37" s="26" t="n">
        <x:f>E37-C37</x:f>
        <x:v>-0.021087680355160933</x:v>
      </x:c>
    </x:row>
    <x:row r="38">
      <x:c r="A38" t="str">
        <x:v>Computational evaluation</x:v>
      </x:c>
      <x:c r="B38" t="n">
        <x:f>COUNTIFS(Token_Coding!$B$2:$B$564,"Original 34",Token_Coding!$C$2:$C$564,"Evaluation feature",Token_Coding!$D$2:$D$564,"Computational evaluation")</x:f>
        <x:v>1</x:v>
      </x:c>
      <x:c r="C38" s="26" t="n">
        <x:f>B38/34</x:f>
        <x:v>0.029411764705882353</x:v>
      </x:c>
      <x:c r="D38" t="n">
        <x:f>COUNTIFS(Token_Coding!$C$2:$C$564,"Evaluation feature",Token_Coding!$D$2:$D$564,"Computational evaluation")</x:f>
        <x:v>2</x:v>
      </x:c>
      <x:c r="E38" s="26" t="n">
        <x:f>D38/53</x:f>
        <x:v>0.03773584905660377</x:v>
      </x:c>
      <x:c r="F38" s="26" t="n">
        <x:f>D38-B38</x:f>
        <x:v>1</x:v>
      </x:c>
      <x:c r="G38" s="26" t="n">
        <x:f>E38-C38</x:f>
        <x:v>0.00832408435072142</x:v>
      </x:c>
    </x:row>
    <x:row r="39">
      <x:c r="A39" t="str">
        <x:v>Benchmark evaluation</x:v>
      </x:c>
      <x:c r="B39" t="n">
        <x:f>COUNTIFS(Token_Coding!$B$2:$B$564,"Original 34",Token_Coding!$C$2:$C$564,"Evaluation feature",Token_Coding!$D$2:$D$564,"Benchmark evaluation")</x:f>
        <x:v>0</x:v>
      </x:c>
      <x:c r="C39" s="26" t="n">
        <x:f>B39/34</x:f>
        <x:v>0</x:v>
      </x:c>
      <x:c r="D39" t="n">
        <x:f>COUNTIFS(Token_Coding!$C$2:$C$564,"Evaluation feature",Token_Coding!$D$2:$D$564,"Benchmark evaluation")</x:f>
        <x:v>1</x:v>
      </x:c>
      <x:c r="E39" s="26" t="n">
        <x:f>D39/53</x:f>
        <x:v>0.018867924528301886</x:v>
      </x:c>
      <x:c r="F39" s="26" t="n">
        <x:f>D39-B39</x:f>
        <x:v>1</x:v>
      </x:c>
      <x:c r="G39" s="26" t="n">
        <x:f>E39-C39</x:f>
        <x:v>0.018867924528301886</x:v>
      </x:c>
    </x:row>
    <x:row r="42">
      <x:c r="A42" s="6" t="str">
        <x:v>Main limitation categories (multi-label; 'Other' omitted)</x:v>
      </x:c>
      <x:c r="B42" s="6" t="str">
        <x:v>Old count</x:v>
      </x:c>
      <x:c r="C42" s="6" t="str">
        <x:v>Old %</x:v>
      </x:c>
      <x:c r="D42" s="6" t="str">
        <x:v>Final count</x:v>
      </x:c>
      <x:c r="E42" s="6" t="str">
        <x:v>Final %</x:v>
      </x:c>
      <x:c r="F42" s="6" t="str">
        <x:v>Δ count</x:v>
      </x:c>
      <x:c r="G42" s="6" t="str">
        <x:v>Δ pp</x:v>
      </x:c>
    </x:row>
    <x:row r="43">
      <x:c r="A43" t="str">
        <x:v>Real-world validation</x:v>
      </x:c>
      <x:c r="B43" t="n">
        <x:f>COUNTIFS(Token_Coding!$B$2:$B$564,"Original 34",Token_Coding!$C$2:$C$564,"Limitation category",Token_Coding!$D$2:$D$564,"Real-world validation")</x:f>
        <x:v>33</x:v>
      </x:c>
      <x:c r="C43" s="26" t="n">
        <x:f>B43/34</x:f>
        <x:v>0.9705882352941176</x:v>
      </x:c>
      <x:c r="D43" t="n">
        <x:f>COUNTIFS(Token_Coding!$C$2:$C$564,"Limitation category",Token_Coding!$D$2:$D$564,"Real-world validation")</x:f>
        <x:v>52</x:v>
      </x:c>
      <x:c r="E43" s="26" t="n">
        <x:f>D43/53</x:f>
        <x:v>0.9811320754716981</x:v>
      </x:c>
      <x:c r="F43" s="26" t="n">
        <x:f>D43-B43</x:f>
        <x:v>19</x:v>
      </x:c>
      <x:c r="G43" s="26" t="n">
        <x:f>E43-C43</x:f>
        <x:v>0.010543840177580477</x:v>
      </x:c>
    </x:row>
    <x:row r="44">
      <x:c r="A44" t="str">
        <x:v>Uncertainty</x:v>
      </x:c>
      <x:c r="B44" t="n">
        <x:f>COUNTIFS(Token_Coding!$B$2:$B$564,"Original 34",Token_Coding!$C$2:$C$564,"Limitation category",Token_Coding!$D$2:$D$564,"Uncertainty")</x:f>
        <x:v>17</x:v>
      </x:c>
      <x:c r="C44" s="26" t="n">
        <x:f>B44/34</x:f>
        <x:v>0.5</x:v>
      </x:c>
      <x:c r="D44" t="n">
        <x:f>COUNTIFS(Token_Coding!$C$2:$C$564,"Limitation category",Token_Coding!$D$2:$D$564,"Uncertainty")</x:f>
        <x:v>34</x:v>
      </x:c>
      <x:c r="E44" s="26" t="n">
        <x:f>D44/53</x:f>
        <x:v>0.6415094339622641</x:v>
      </x:c>
      <x:c r="F44" s="26" t="n">
        <x:f>D44-B44</x:f>
        <x:v>17</x:v>
      </x:c>
      <x:c r="G44" s="26" t="n">
        <x:f>E44-C44</x:f>
        <x:v>0.14150943396226412</x:v>
      </x:c>
    </x:row>
    <x:row r="45">
      <x:c r="A45" t="str">
        <x:v>Reproducibility/data availability</x:v>
      </x:c>
      <x:c r="B45" t="n">
        <x:f>COUNTIFS(Token_Coding!$B$2:$B$564,"Original 34",Token_Coding!$C$2:$C$564,"Limitation category",Token_Coding!$D$2:$D$564,"Reproducibility/data availability")</x:f>
        <x:v>15</x:v>
      </x:c>
      <x:c r="C45" s="26" t="n">
        <x:f>B45/34</x:f>
        <x:v>0.4411764705882353</x:v>
      </x:c>
      <x:c r="D45" t="n">
        <x:f>COUNTIFS(Token_Coding!$C$2:$C$564,"Limitation category",Token_Coding!$D$2:$D$564,"Reproducibility/data availability")</x:f>
        <x:v>18</x:v>
      </x:c>
      <x:c r="E45" s="26" t="n">
        <x:f>D45/53</x:f>
        <x:v>0.33962264150943394</x:v>
      </x:c>
      <x:c r="F45" s="26" t="n">
        <x:f>D45-B45</x:f>
        <x:v>3</x:v>
      </x:c>
      <x:c r="G45" s="26" t="n">
        <x:f>E45-C45</x:f>
        <x:v>-0.10155382907880134</x:v>
      </x:c>
    </x:row>
    <x:row r="46">
      <x:c r="A46" t="str">
        <x:v>Environmental modelling</x:v>
      </x:c>
      <x:c r="B46" t="n">
        <x:f>COUNTIFS(Token_Coding!$B$2:$B$564,"Original 34",Token_Coding!$C$2:$C$564,"Limitation category",Token_Coding!$D$2:$D$564,"Environmental modelling")</x:f>
        <x:v>8</x:v>
      </x:c>
      <x:c r="C46" s="26" t="n">
        <x:f>B46/34</x:f>
        <x:v>0.23529411764705882</x:v>
      </x:c>
      <x:c r="D46" t="n">
        <x:f>COUNTIFS(Token_Coding!$C$2:$C$564,"Limitation category",Token_Coding!$D$2:$D$564,"Environmental modelling")</x:f>
        <x:v>18</x:v>
      </x:c>
      <x:c r="E46" s="26" t="n">
        <x:f>D46/53</x:f>
        <x:v>0.33962264150943394</x:v>
      </x:c>
      <x:c r="F46" s="26" t="n">
        <x:f>D46-B46</x:f>
        <x:v>10</x:v>
      </x:c>
      <x:c r="G46" s="26" t="n">
        <x:f>E46-C46</x:f>
        <x:v>0.10432852386237512</x:v>
      </x:c>
    </x:row>
    <x:row r="47">
      <x:c r="A47" t="str">
        <x:v>Computational requirements</x:v>
      </x:c>
      <x:c r="B47" t="n">
        <x:f>COUNTIFS(Token_Coding!$B$2:$B$564,"Original 34",Token_Coding!$C$2:$C$564,"Limitation category",Token_Coding!$D$2:$D$564,"Computational requirements")</x:f>
        <x:v>14</x:v>
      </x:c>
      <x:c r="C47" s="26" t="n">
        <x:f>B47/34</x:f>
        <x:v>0.4117647058823529</x:v>
      </x:c>
      <x:c r="D47" t="n">
        <x:f>COUNTIFS(Token_Coding!$C$2:$C$564,"Limitation category",Token_Coding!$D$2:$D$564,"Computational requirements")</x:f>
        <x:v>17</x:v>
      </x:c>
      <x:c r="E47" s="26" t="n">
        <x:f>D47/53</x:f>
        <x:v>0.32075471698113206</x:v>
      </x:c>
      <x:c r="F47" s="26" t="n">
        <x:f>D47-B47</x:f>
        <x:v>3</x:v>
      </x:c>
      <x:c r="G47" s="26" t="n">
        <x:f>E47-C47</x:f>
        <x:v>-0.09100998890122086</x:v>
      </x:c>
    </x:row>
    <x:row r="48">
      <x:c r="A48" t="str">
        <x:v>Scalability</x:v>
      </x:c>
      <x:c r="B48" t="n">
        <x:f>COUNTIFS(Token_Coding!$B$2:$B$564,"Original 34",Token_Coding!$C$2:$C$564,"Limitation category",Token_Coding!$D$2:$D$564,"Scalability")</x:f>
        <x:v>10</x:v>
      </x:c>
      <x:c r="C48" s="26" t="n">
        <x:f>B48/34</x:f>
        <x:v>0.29411764705882354</x:v>
      </x:c>
      <x:c r="D48" t="n">
        <x:f>COUNTIFS(Token_Coding!$C$2:$C$564,"Limitation category",Token_Coding!$D$2:$D$564,"Scalability")</x:f>
        <x:v>11</x:v>
      </x:c>
      <x:c r="E48" s="26" t="n">
        <x:f>D48/53</x:f>
        <x:v>0.20754716981132076</x:v>
      </x:c>
      <x:c r="F48" s="26" t="n">
        <x:f>D48-B48</x:f>
        <x:v>1</x:v>
      </x:c>
      <x:c r="G48" s="26" t="n">
        <x:f>E48-C48</x:f>
        <x:v>-0.08657047724750278</x:v>
      </x:c>
    </x:row>
    <x:row r="49">
      <x:c r="A49" t="str">
        <x:v>Adoption/usability</x:v>
      </x:c>
      <x:c r="B49" t="n">
        <x:f>COUNTIFS(Token_Coding!$B$2:$B$564,"Original 34",Token_Coding!$C$2:$C$564,"Limitation category",Token_Coding!$D$2:$D$564,"Adoption/usability")</x:f>
        <x:v>2</x:v>
      </x:c>
      <x:c r="C49" s="26" t="n">
        <x:f>B49/34</x:f>
        <x:v>0.058823529411764705</x:v>
      </x:c>
      <x:c r="D49" t="n">
        <x:f>COUNTIFS(Token_Coding!$C$2:$C$564,"Limitation category",Token_Coding!$D$2:$D$564,"Adoption/usability")</x:f>
        <x:v>6</x:v>
      </x:c>
      <x:c r="E49" s="26" t="n">
        <x:f>D49/53</x:f>
        <x:v>0.11320754716981132</x:v>
      </x:c>
      <x:c r="F49" s="26" t="n">
        <x:f>D49-B49</x:f>
        <x:v>4</x:v>
      </x:c>
      <x:c r="G49" s="26" t="n">
        <x:f>E49-C49</x:f>
        <x:v>0.05438401775804662</x:v>
      </x:c>
    </x:row>
    <x:row r="50">
      <x:c r="A50" t="str">
        <x:v>Explainability</x:v>
      </x:c>
      <x:c r="B50" t="n">
        <x:f>COUNTIFS(Token_Coding!$B$2:$B$564,"Original 34",Token_Coding!$C$2:$C$564,"Limitation category",Token_Coding!$D$2:$D$564,"Explainability")</x:f>
        <x:v>1</x:v>
      </x:c>
      <x:c r="C50" s="26" t="n">
        <x:f>B50/34</x:f>
        <x:v>0.029411764705882353</x:v>
      </x:c>
      <x:c r="D50" t="n">
        <x:f>COUNTIFS(Token_Coding!$C$2:$C$564,"Limitation category",Token_Coding!$D$2:$D$564,"Explainability")</x:f>
        <x:v>1</x:v>
      </x:c>
      <x:c r="E50" s="26" t="n">
        <x:f>D50/53</x:f>
        <x:v>0.018867924528301886</x:v>
      </x:c>
      <x:c r="F50" s="26" t="n">
        <x:f>D50-B50</x:f>
        <x:v>0</x:v>
      </x:c>
      <x:c r="G50" s="26" t="n">
        <x:f>E50-C50</x:f>
        <x:v>-0.010543840177580466</x:v>
      </x:c>
    </x:row>
    <x:row r="51">
      <x:c r="A51" t="str">
        <x:v>Deployment cost</x:v>
      </x:c>
      <x:c r="B51" t="n">
        <x:f>COUNTIFS(Token_Coding!$B$2:$B$564,"Original 34",Token_Coding!$C$2:$C$564,"Limitation category",Token_Coding!$D$2:$D$564,"Deployment cost")</x:f>
        <x:v>1</x:v>
      </x:c>
      <x:c r="C51" s="26" t="n">
        <x:f>B51/34</x:f>
        <x:v>0.029411764705882353</x:v>
      </x:c>
      <x:c r="D51" t="n">
        <x:f>COUNTIFS(Token_Coding!$C$2:$C$564,"Limitation category",Token_Coding!$D$2:$D$564,"Deployment cost")</x:f>
        <x:v>1</x:v>
      </x:c>
      <x:c r="E51" s="26" t="n">
        <x:f>D51/53</x:f>
        <x:v>0.018867924528301886</x:v>
      </x:c>
      <x:c r="F51" s="26" t="n">
        <x:f>D51-B51</x:f>
        <x:v>0</x:v>
      </x:c>
      <x:c r="G51" s="26" t="n">
        <x:f>E51-C51</x:f>
        <x:v>-0.010543840177580466</x:v>
      </x:c>
    </x:row>
    <x:row r="52">
      <x:c r="A52" t="str">
        <x:v>Interoperability</x:v>
      </x:c>
      <x:c r="B52" t="n">
        <x:f>COUNTIFS(Token_Coding!$B$2:$B$564,"Original 34",Token_Coding!$C$2:$C$564,"Limitation category",Token_Coding!$D$2:$D$564,"Interoperability")</x:f>
        <x:v>1</x:v>
      </x:c>
      <x:c r="C52" s="26" t="n">
        <x:f>B52/34</x:f>
        <x:v>0.029411764705882353</x:v>
      </x:c>
      <x:c r="D52" t="n">
        <x:f>COUNTIFS(Token_Coding!$C$2:$C$564,"Limitation category",Token_Coding!$D$2:$D$564,"Interoperability")</x:f>
        <x:v>1</x:v>
      </x:c>
      <x:c r="E52" s="26" t="n">
        <x:f>D52/53</x:f>
        <x:v>0.018867924528301886</x:v>
      </x:c>
      <x:c r="F52" s="26" t="n">
        <x:f>D52-B52</x:f>
        <x:v>0</x:v>
      </x:c>
      <x:c r="G52" s="26" t="n">
        <x:f>E52-C52</x:f>
        <x:v>-0.010543840177580466</x:v>
      </x:c>
    </x:row>
  </x:sheetData>
  <x:mergeCells>
    <x:mergeCell ref="A1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8" max="8" width="12" hidden="0" customWidth="1"/>
    <x:col min="9" max="9" width="26" hidden="0" customWidth="1"/>
    <x:col min="10" max="10" width="10" hidden="0" customWidth="1"/>
    <x:col min="11" max="11" width="40" hidden="0" customWidth="1"/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15" t="str">
        <x:v>Quality Assessment and Study-Family Structure</x:v>
      </x:c>
      <x:c r="B1" s="15"/>
      <x:c r="C1" s="15"/>
      <x:c r="D1" s="15"/>
      <x:c r="E1" s="15"/>
      <x:c r="F1" s="15"/>
      <x:c r="G1" s="15"/>
      <x:c r="H1" s="42"/>
      <x:c r="I1" s="46"/>
      <x:c r="J1" s="46"/>
      <x:c r="K1" s="46"/>
      <x:c r="L1" s="44"/>
      <x:c r="M1" s="44"/>
      <x:c r="N1" s="44"/>
      <x:c r="O1" s="44"/>
      <x:c r="P1" s="44"/>
      <x:c r="Q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4">
      <x:c r="A4" s="6" t="str">
        <x:v>QA statistic</x:v>
      </x:c>
      <x:c r="B4" s="6" t="str">
        <x:v>Original 34</x:v>
      </x:c>
      <x:c r="C4" s="6" t="str">
        <x:v>Final 53</x:v>
      </x:c>
      <x:c r="D4" s="6" t="str">
        <x:v>Change</x:v>
      </x:c>
      <x:c r="E4" s="6" t="str">
        <x:v>Interpretation</x:v>
      </x:c>
      <x:c r="H4" s="6" t="str">
        <x:v>Family</x:v>
      </x:c>
      <x:c r="I4" s="6" t="str">
        <x:v>Members</x:v>
      </x:c>
      <x:c r="J4" s="6" t="str">
        <x:v>Count</x:v>
      </x:c>
      <x:c r="K4" s="6" t="str">
        <x:v>Research line</x:v>
      </x:c>
    </x:row>
    <x:row r="5">
      <x:c r="A5" t="str">
        <x:v>Mean QA</x:v>
      </x:c>
      <x:c r="B5" s="28" t="n">
        <x:f>SUMIFS(Study_Coding!$N$2:$N$54,Study_Coding!$B$2:$B$54,"Original 34")/34</x:f>
        <x:v>12.764705882352942</x:v>
      </x:c>
      <x:c r="C5" s="28" t="n">
        <x:f>AVERAGE(Study_Coding!$N$2:$N$54)</x:f>
        <x:v>12.943396226415095</x:v>
      </x:c>
      <x:c r="D5" s="28" t="n">
        <x:f>C5-B5</x:f>
        <x:v>0.17869034406215256</x:v>
      </x:c>
      <x:c r="E5" t="str">
        <x:v>Stable/high</x:v>
      </x:c>
      <x:c r="H5" t="str">
        <x:v>SF05</x:v>
      </x:c>
      <x:c r="I5" t="str">
        <x:v>S05; S11; S29</x:v>
      </x:c>
      <x:c r="J5" t="n">
        <x:v>3</x:v>
      </x:c>
      <x:c r="K5" t="str">
        <x:v>Dairy P2P energy / MAPDES</x:v>
      </x:c>
    </x:row>
    <x:row r="6">
      <x:c r="A6" t="str">
        <x:v>Median QA</x:v>
      </x:c>
      <x:c r="B6" s="28" t="n">
        <x:f>MEDIAN(Study_Coding!$N$2:$N$35)</x:f>
        <x:v>13</x:v>
      </x:c>
      <x:c r="C6" s="28" t="n">
        <x:f>MEDIAN(Study_Coding!$N$2:$N$54)</x:f>
        <x:v>13</x:v>
      </x:c>
      <x:c r="D6" s="28" t="n">
        <x:f>C6-B6</x:f>
        <x:v>0</x:v>
      </x:c>
      <x:c r="E6" t="str">
        <x:v>Unchanged</x:v>
      </x:c>
      <x:c r="H6" t="str">
        <x:v>SF08</x:v>
      </x:c>
      <x:c r="I6" t="str">
        <x:v>S08; S23</x:v>
      </x:c>
      <x:c r="J6" t="n">
        <x:v>2</x:v>
      </x:c>
      <x:c r="K6" t="str">
        <x:v>Semi-centralized MARL irrigation</x:v>
      </x:c>
    </x:row>
    <x:row r="7">
      <x:c r="A7" t="str">
        <x:v>Minimum QA</x:v>
      </x:c>
      <x:c r="B7" s="28" t="n">
        <x:f>MIN(Study_Coding!$N$2:$N$35)</x:f>
        <x:v>8</x:v>
      </x:c>
      <x:c r="C7" s="28" t="n">
        <x:f>MIN(Study_Coding!$N$2:$N$54)</x:f>
        <x:v>8</x:v>
      </x:c>
      <x:c r="D7" s="28" t="n">
        <x:f>C7-B7</x:f>
        <x:v>0</x:v>
      </x:c>
      <x:c r="E7" t="str">
        <x:v>Unchanged</x:v>
      </x:c>
      <x:c r="H7" t="str">
        <x:v>SF13</x:v>
      </x:c>
      <x:c r="I7" t="str">
        <x:v>S13; S22</x:v>
      </x:c>
      <x:c r="J7" t="n">
        <x:v>2</x:v>
      </x:c>
      <x:c r="K7" t="str">
        <x:v>MAELIA core/platform</x:v>
      </x:c>
    </x:row>
    <x:row r="8">
      <x:c r="A8" t="str">
        <x:v>Maximum QA</x:v>
      </x:c>
      <x:c r="B8" s="28" t="n">
        <x:f>MAX(Study_Coding!$N$2:$N$35)</x:f>
        <x:v>14</x:v>
      </x:c>
      <x:c r="C8" s="28" t="n">
        <x:f>MAX(Study_Coding!$N$2:$N$54)</x:f>
        <x:v>14</x:v>
      </x:c>
      <x:c r="D8" s="28" t="n">
        <x:f>C8-B8</x:f>
        <x:v>0</x:v>
      </x:c>
      <x:c r="E8" t="str">
        <x:v>Unchanged</x:v>
      </x:c>
      <x:c r="H8" t="str">
        <x:v>SF16</x:v>
      </x:c>
      <x:c r="I8" t="str">
        <x:v>S16; S20</x:v>
      </x:c>
      <x:c r="J8" t="n">
        <x:v>2</x:v>
      </x:c>
      <x:c r="K8" t="str">
        <x:v>Community irrigation negotiation</x:v>
      </x:c>
    </x:row>
    <x:row r="9">
      <x:c r="H9" t="str">
        <x:v>SF25</x:v>
      </x:c>
      <x:c r="I9" t="str">
        <x:v>S25; S33; S34</x:v>
      </x:c>
      <x:c r="J9" t="n">
        <x:v>3</x:v>
      </x:c>
      <x:c r="K9" t="str">
        <x:v>Harvest workforce/task allocation</x:v>
      </x:c>
    </x:row>
    <x:row r="10">
      <x:c r="H10" t="str">
        <x:v>SF42</x:v>
      </x:c>
      <x:c r="I10" t="str">
        <x:v>S42; S52</x:v>
      </x:c>
      <x:c r="J10" t="n">
        <x:v>2</x:v>
      </x:c>
      <x:c r="K10" t="str">
        <x:v>MAELIA Aveyron application / WEF extension</x:v>
      </x:c>
    </x:row>
    <x:row r="11">
      <x:c r="A11" s="6" t="str">
        <x:v>QA total</x:v>
      </x:c>
      <x:c r="B11" s="6" t="str">
        <x:v>Old count</x:v>
      </x:c>
      <x:c r="C11" s="6" t="str">
        <x:v>Old %</x:v>
      </x:c>
      <x:c r="D11" s="6" t="str">
        <x:v>Final count</x:v>
      </x:c>
      <x:c r="E11" s="6" t="str">
        <x:v>Final %</x:v>
      </x:c>
      <x:c r="F11" s="6" t="str">
        <x:v>Δ count</x:v>
      </x:c>
      <x:c r="H11" t="str">
        <x:v>SF49</x:v>
      </x:c>
      <x:c r="I11" t="str">
        <x:v>S49; S53</x:v>
      </x:c>
      <x:c r="J11" t="n">
        <x:v>2</x:v>
      </x:c>
      <x:c r="K11" t="str">
        <x:v>Large-scale irrigation MPC/MARA</x:v>
      </x:c>
    </x:row>
    <x:row r="12">
      <x:c r="A12" t="n">
        <x:v>8</x:v>
      </x:c>
      <x:c r="B12" t="n">
        <x:f>COUNTIFS(Study_Coding!$B$2:$B$54,"Original 34",Study_Coding!$N$2:$N$54,A12)</x:f>
        <x:v>1</x:v>
      </x:c>
      <x:c r="C12" s="26" t="n">
        <x:f>B12/34</x:f>
        <x:v>0.029411764705882353</x:v>
      </x:c>
      <x:c r="D12" t="n">
        <x:f>COUNTIF(Study_Coding!$N$2:$N$54,A12)</x:f>
        <x:v>1</x:v>
      </x:c>
      <x:c r="E12" s="26" t="n">
        <x:f>D12/53</x:f>
        <x:v>0.018867924528301886</x:v>
      </x:c>
      <x:c r="F12" t="n">
        <x:f>D12-B12</x:f>
        <x:v>0</x:v>
      </x:c>
    </x:row>
    <x:row r="13">
      <x:c r="A13" t="n">
        <x:v>9</x:v>
      </x:c>
      <x:c r="B13" t="n">
        <x:f>COUNTIFS(Study_Coding!$B$2:$B$54,"Original 34",Study_Coding!$N$2:$N$54,A13)</x:f>
        <x:v>1</x:v>
      </x:c>
      <x:c r="C13" s="26" t="n">
        <x:f>B13/34</x:f>
        <x:v>0.029411764705882353</x:v>
      </x:c>
      <x:c r="D13" t="n">
        <x:f>COUNTIF(Study_Coding!$N$2:$N$54,A13)</x:f>
        <x:v>1</x:v>
      </x:c>
      <x:c r="E13" s="26" t="n">
        <x:f>D13/53</x:f>
        <x:v>0.018867924528301886</x:v>
      </x:c>
      <x:c r="F13" t="n">
        <x:f>D13-B13</x:f>
        <x:v>0</x:v>
      </x:c>
    </x:row>
    <x:row r="14">
      <x:c r="A14" t="n">
        <x:v>10</x:v>
      </x:c>
      <x:c r="B14" t="n">
        <x:f>COUNTIFS(Study_Coding!$B$2:$B$54,"Original 34",Study_Coding!$N$2:$N$54,A14)</x:f>
        <x:v>1</x:v>
      </x:c>
      <x:c r="C14" s="26" t="n">
        <x:f>B14/34</x:f>
        <x:v>0.029411764705882353</x:v>
      </x:c>
      <x:c r="D14" t="n">
        <x:f>COUNTIF(Study_Coding!$N$2:$N$54,A14)</x:f>
        <x:v>1</x:v>
      </x:c>
      <x:c r="E14" s="26" t="n">
        <x:f>D14/53</x:f>
        <x:v>0.018867924528301886</x:v>
      </x:c>
      <x:c r="F14" t="n">
        <x:f>D14-B14</x:f>
        <x:v>0</x:v>
      </x:c>
    </x:row>
    <x:row r="15">
      <x:c r="A15" t="n">
        <x:v>11</x:v>
      </x:c>
      <x:c r="B15" t="n">
        <x:f>COUNTIFS(Study_Coding!$B$2:$B$54,"Original 34",Study_Coding!$N$2:$N$54,A15)</x:f>
        <x:v>1</x:v>
      </x:c>
      <x:c r="C15" s="26" t="n">
        <x:f>B15/34</x:f>
        <x:v>0.029411764705882353</x:v>
      </x:c>
      <x:c r="D15" t="n">
        <x:f>COUNTIF(Study_Coding!$N$2:$N$54,A15)</x:f>
        <x:v>1</x:v>
      </x:c>
      <x:c r="E15" s="26" t="n">
        <x:f>D15/53</x:f>
        <x:v>0.018867924528301886</x:v>
      </x:c>
      <x:c r="F15" t="n">
        <x:f>D15-B15</x:f>
        <x:v>0</x:v>
      </x:c>
    </x:row>
    <x:row r="16">
      <x:c r="A16" t="n">
        <x:v>12</x:v>
      </x:c>
      <x:c r="B16" t="n">
        <x:f>COUNTIFS(Study_Coding!$B$2:$B$54,"Original 34",Study_Coding!$N$2:$N$54,A16)</x:f>
        <x:v>6</x:v>
      </x:c>
      <x:c r="C16" s="26" t="n">
        <x:f>B16/34</x:f>
        <x:v>0.17647058823529413</x:v>
      </x:c>
      <x:c r="D16" t="n">
        <x:f>COUNTIF(Study_Coding!$N$2:$N$54,A16)</x:f>
        <x:v>7</x:v>
      </x:c>
      <x:c r="E16" s="26" t="n">
        <x:f>D16/53</x:f>
        <x:v>0.1320754716981132</x:v>
      </x:c>
      <x:c r="F16" t="n">
        <x:f>D16-B16</x:f>
        <x:v>1</x:v>
      </x:c>
    </x:row>
    <x:row r="17">
      <x:c r="A17" t="n">
        <x:v>13</x:v>
      </x:c>
      <x:c r="B17" t="n">
        <x:f>COUNTIFS(Study_Coding!$B$2:$B$54,"Original 34",Study_Coding!$N$2:$N$54,A17)</x:f>
        <x:v>12</x:v>
      </x:c>
      <x:c r="C17" s="26" t="n">
        <x:f>B17/34</x:f>
        <x:v>0.35294117647058826</x:v>
      </x:c>
      <x:c r="D17" t="n">
        <x:f>COUNTIF(Study_Coding!$N$2:$N$54,A17)</x:f>
        <x:v>24</x:v>
      </x:c>
      <x:c r="E17" s="26" t="n">
        <x:f>D17/53</x:f>
        <x:v>0.4528301886792453</x:v>
      </x:c>
      <x:c r="F17" t="n">
        <x:f>D17-B17</x:f>
        <x:v>12</x:v>
      </x:c>
    </x:row>
    <x:row r="18">
      <x:c r="A18" t="n">
        <x:v>14</x:v>
      </x:c>
      <x:c r="B18" t="n">
        <x:f>COUNTIFS(Study_Coding!$B$2:$B$54,"Original 34",Study_Coding!$N$2:$N$54,A18)</x:f>
        <x:v>12</x:v>
      </x:c>
      <x:c r="C18" s="26" t="n">
        <x:f>B18/34</x:f>
        <x:v>0.35294117647058826</x:v>
      </x:c>
      <x:c r="D18" t="n">
        <x:f>COUNTIF(Study_Coding!$N$2:$N$54,A18)</x:f>
        <x:v>18</x:v>
      </x:c>
      <x:c r="E18" s="26" t="n">
        <x:f>D18/53</x:f>
        <x:v>0.33962264150943394</x:v>
      </x:c>
      <x:c r="F18" t="n">
        <x:f>D18-B18</x:f>
        <x:v>6</x:v>
      </x:c>
    </x:row>
    <x:row r="22">
      <x:c r="A22" s="6" t="str">
        <x:v>Family statistic</x:v>
      </x:c>
      <x:c r="B22" s="6" t="str">
        <x:v>Original 34</x:v>
      </x:c>
      <x:c r="C22" s="6" t="str">
        <x:v>Final 53</x:v>
      </x:c>
      <x:c r="D22" s="6" t="str">
        <x:v>Change</x:v>
      </x:c>
      <x:c r="E22" s="6" t="str">
        <x:v>Original %</x:v>
      </x:c>
      <x:c r="F22" s="6" t="str">
        <x:v>Final %</x:v>
      </x:c>
    </x:row>
    <x:row r="23">
      <x:c r="A23" t="str">
        <x:v>Distinct families</x:v>
      </x:c>
      <x:c r="B23" t="n">
        <x:f>COUNTIF(Family_Coding!$D$2:$D$45,"Yes")</x:f>
        <x:v>27</x:v>
      </x:c>
      <x:c r="C23" t="n">
        <x:f>COUNTA(Family_Coding!$A$2:$A$45)</x:f>
        <x:v>44</x:v>
      </x:c>
      <x:c r="D23" t="n">
        <x:f>C23-B23</x:f>
        <x:v>17</x:v>
      </x:c>
    </x:row>
    <x:row r="24">
      <x:c r="A24" t="str">
        <x:v>Multi-publication families</x:v>
      </x:c>
      <x:c r="B24" t="n">
        <x:f>COUNTIFS(Family_Coding!$D$2:$D$45,"Yes",Family_Coding!$E$2:$E$45,"Yes")</x:f>
        <x:v>5</x:v>
      </x:c>
      <x:c r="C24" t="n">
        <x:f>COUNTIF(Family_Coding!$E$2:$E$45,"Yes")</x:f>
        <x:v>7</x:v>
      </x:c>
      <x:c r="D24" t="n">
        <x:f>C24-B24</x:f>
        <x:v>2</x:v>
      </x:c>
      <x:c r="E24" s="26" t="n">
        <x:f>B24/B23</x:f>
        <x:v>0.18518518518518517</x:v>
      </x:c>
      <x:c r="F24" s="26" t="n">
        <x:f>C24/C23</x:f>
        <x:v>0.1590909090909091</x:v>
      </x:c>
    </x:row>
    <x:row r="25">
      <x:c r="A25" t="str">
        <x:v>Single-publication families</x:v>
      </x:c>
      <x:c r="B25" t="n">
        <x:f>B23-B24</x:f>
        <x:v>22</x:v>
      </x:c>
      <x:c r="C25" t="n">
        <x:f>C23-C24</x:f>
        <x:v>37</x:v>
      </x:c>
      <x:c r="D25" t="n">
        <x:f>C25-B25</x:f>
        <x:v>15</x:v>
      </x:c>
      <x:c r="E25" s="26" t="n">
        <x:f>B25/B23</x:f>
        <x:v>0.8148148148148148</x:v>
      </x:c>
      <x:c r="F25" s="26" t="n">
        <x:f>C25/C23</x:f>
        <x:v>0.8409090909090909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b6db7650a0df411c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5" t="str">
        <x:v>Compact Comparison Table for Report Writing</x:v>
      </x:c>
      <x:c r="B1" s="15"/>
      <x:c r="C1" s="15"/>
      <x:c r="D1" s="15"/>
      <x:c r="E1" s="15"/>
      <x:c r="F1" s="15"/>
      <x:c r="G1" s="15"/>
      <x:c r="H1" s="15"/>
      <x:c r="I1" s="44"/>
      <x:c r="J1" s="44"/>
      <x:c r="K1" s="44"/>
      <x:c r="L1" s="44"/>
      <x:c r="M1" s="44"/>
      <x:c r="N1" s="44"/>
      <x:c r="O1" s="44"/>
      <x:c r="P1" s="44"/>
      <x:c r="Q1" s="44"/>
    </x:row>
    <x:row r="2">
      <x:c r="A2" s="15"/>
      <x:c r="B2" s="15"/>
      <x:c r="C2" s="15"/>
      <x:c r="D2" s="15"/>
      <x:c r="E2" s="15"/>
      <x:c r="F2" s="15"/>
      <x:c r="G2" s="15"/>
      <x:c r="H2" s="15"/>
    </x:row>
    <x:row r="4">
      <x:c r="A4" s="6" t="str">
        <x:v>Dimension</x:v>
      </x:c>
      <x:c r="B4" s="6" t="str">
        <x:v>Category</x:v>
      </x:c>
      <x:c r="C4" s="6" t="str">
        <x:v>Old count</x:v>
      </x:c>
      <x:c r="D4" s="6" t="str">
        <x:v>Old %</x:v>
      </x:c>
      <x:c r="E4" s="6" t="str">
        <x:v>Final count</x:v>
      </x:c>
      <x:c r="F4" s="6" t="str">
        <x:v>Final %</x:v>
      </x:c>
      <x:c r="G4" s="6" t="str">
        <x:v>Δ count</x:v>
      </x:c>
      <x:c r="H4" s="6" t="str">
        <x:v>Δ pp</x:v>
      </x:c>
    </x:row>
    <x:row r="5">
      <x:c r="A5" t="str">
        <x:v>Publication type</x:v>
      </x:c>
      <x:c r="B5" t="str">
        <x:v>Journal article</x:v>
      </x:c>
      <x:c r="C5" t="n">
        <x:f>COUNTIFS(Study_Coding!$B$2:$B$54,"Original 34",Study_Coding!$E$2:$E$54,"Journal article")</x:f>
        <x:v>21</x:v>
      </x:c>
      <x:c r="D5" s="26" t="n">
        <x:f>C5/34</x:f>
        <x:v>0.6176470588235294</x:v>
      </x:c>
      <x:c r="E5" t="n">
        <x:f>COUNTIF(Study_Coding!$E$2:$E$54,"Journal article")</x:f>
        <x:v>37</x:v>
      </x:c>
      <x:c r="F5" s="26" t="n">
        <x:f>E5/53</x:f>
        <x:v>0.6981132075471698</x:v>
      </x:c>
      <x:c r="G5" t="n">
        <x:f>E5-C5</x:f>
        <x:v>16</x:v>
      </x:c>
      <x:c r="H5" s="26" t="n">
        <x:f>F5-D5</x:f>
        <x:v>0.08046614872364033</x:v>
      </x:c>
    </x:row>
    <x:row r="6">
      <x:c r="A6" t="str">
        <x:v>Publication type</x:v>
      </x:c>
      <x:c r="B6" t="str">
        <x:v>Conference paper</x:v>
      </x:c>
      <x:c r="C6" t="n">
        <x:f>COUNTIFS(Study_Coding!$B$2:$B$54,"Original 34",Study_Coding!$E$2:$E$54,"Conference paper")</x:f>
        <x:v>13</x:v>
      </x:c>
      <x:c r="D6" s="26" t="n">
        <x:f>C6/34</x:f>
        <x:v>0.38235294117647056</x:v>
      </x:c>
      <x:c r="E6" t="n">
        <x:f>COUNTIF(Study_Coding!$E$2:$E$54,"Conference paper")</x:f>
        <x:v>16</x:v>
      </x:c>
      <x:c r="F6" s="26" t="n">
        <x:f>E6/53</x:f>
        <x:v>0.3018867924528302</x:v>
      </x:c>
      <x:c r="G6" t="n">
        <x:f>E6-C6</x:f>
        <x:v>3</x:v>
      </x:c>
      <x:c r="H6" s="26" t="n">
        <x:f>F6-D6</x:f>
        <x:v>-0.08046614872364038</x:v>
      </x:c>
    </x:row>
    <x:row r="7">
      <x:c r="A7" t="str">
        <x:v>Primary domain</x:v>
      </x:c>
      <x:c r="B7" t="str">
        <x:v>Irrigation / water management</x:v>
      </x:c>
      <x:c r="C7" t="n">
        <x:f>COUNTIFS(Study_Coding!$B$2:$B$54,"Original 34",Study_Coding!$D$2:$D$54,"Irrigation / water management")</x:f>
        <x:v>14</x:v>
      </x:c>
      <x:c r="D7" s="26" t="n">
        <x:f>C7/34</x:f>
        <x:v>0.4117647058823529</x:v>
      </x:c>
      <x:c r="E7" t="n">
        <x:f>COUNTIF(Study_Coding!$D$2:$D$54,"Irrigation / water management")</x:f>
        <x:v>24</x:v>
      </x:c>
      <x:c r="F7" s="26" t="n">
        <x:f>E7/53</x:f>
        <x:v>0.4528301886792453</x:v>
      </x:c>
      <x:c r="G7" t="n">
        <x:f>E7-C7</x:f>
        <x:v>10</x:v>
      </x:c>
      <x:c r="H7" s="26" t="n">
        <x:f>F7-D7</x:f>
        <x:v>0.04106548279689237</x:v>
      </x:c>
    </x:row>
    <x:row r="8">
      <x:c r="A8" t="str">
        <x:v>Primary domain</x:v>
      </x:c>
      <x:c r="B8" t="str">
        <x:v>Livestock / integrated farming</x:v>
      </x:c>
      <x:c r="C8" t="n">
        <x:f>COUNTIFS(Study_Coding!$B$2:$B$54,"Original 34",Study_Coding!$D$2:$D$54,"Livestock / integrated farming")</x:f>
        <x:v>5</x:v>
      </x:c>
      <x:c r="D8" s="26" t="n">
        <x:f>C8/34</x:f>
        <x:v>0.14705882352941177</x:v>
      </x:c>
      <x:c r="E8" t="n">
        <x:f>COUNTIF(Study_Coding!$D$2:$D$54,"Livestock / integrated farming")</x:f>
        <x:v>6</x:v>
      </x:c>
      <x:c r="F8" s="26" t="n">
        <x:f>E8/53</x:f>
        <x:v>0.11320754716981132</x:v>
      </x:c>
      <x:c r="G8" t="n">
        <x:f>E8-C8</x:f>
        <x:v>1</x:v>
      </x:c>
      <x:c r="H8" s="26" t="n">
        <x:f>F8-D8</x:f>
        <x:v>-0.033851276359600446</x:v>
      </x:c>
    </x:row>
    <x:row r="9">
      <x:c r="A9" t="str">
        <x:v>Primary domain</x:v>
      </x:c>
      <x:c r="B9" t="str">
        <x:v>Workforce / robotics / task allocation</x:v>
      </x:c>
      <x:c r="C9" t="n">
        <x:f>COUNTIFS(Study_Coding!$B$2:$B$54,"Original 34",Study_Coding!$D$2:$D$54,"Workforce / robotics / task allocation")</x:f>
        <x:v>5</x:v>
      </x:c>
      <x:c r="D9" s="26" t="n">
        <x:f>C9/34</x:f>
        <x:v>0.14705882352941177</x:v>
      </x:c>
      <x:c r="E9" t="n">
        <x:f>COUNTIF(Study_Coding!$D$2:$D$54,"Workforce / robotics / task allocation")</x:f>
        <x:v>6</x:v>
      </x:c>
      <x:c r="F9" s="26" t="n">
        <x:f>E9/53</x:f>
        <x:v>0.11320754716981132</x:v>
      </x:c>
      <x:c r="G9" t="n">
        <x:f>E9-C9</x:f>
        <x:v>1</x:v>
      </x:c>
      <x:c r="H9" s="26" t="n">
        <x:f>F9-D9</x:f>
        <x:v>-0.033851276359600446</x:v>
      </x:c>
    </x:row>
    <x:row r="10">
      <x:c r="A10" t="str">
        <x:v>Primary domain</x:v>
      </x:c>
      <x:c r="B10" t="str">
        <x:v>Crop / farm management</x:v>
      </x:c>
      <x:c r="C10" t="n">
        <x:f>COUNTIFS(Study_Coding!$B$2:$B$54,"Original 34",Study_Coding!$D$2:$D$54,"Crop / farm management")</x:f>
        <x:v>4</x:v>
      </x:c>
      <x:c r="D10" s="26" t="n">
        <x:f>C10/34</x:f>
        <x:v>0.11764705882352941</x:v>
      </x:c>
      <x:c r="E10" t="n">
        <x:f>COUNTIF(Study_Coding!$D$2:$D$54,"Crop / farm management")</x:f>
        <x:v>8</x:v>
      </x:c>
      <x:c r="F10" s="26" t="n">
        <x:f>E10/53</x:f>
        <x:v>0.1509433962264151</x:v>
      </x:c>
      <x:c r="G10" t="n">
        <x:f>E10-C10</x:f>
        <x:v>4</x:v>
      </x:c>
      <x:c r="H10" s="26" t="n">
        <x:f>F10-D10</x:f>
        <x:v>0.03329633740288568</x:v>
      </x:c>
    </x:row>
    <x:row r="11">
      <x:c r="A11" t="str">
        <x:v>Primary domain</x:v>
      </x:c>
      <x:c r="B11" t="str">
        <x:v>Energy / WEF nexus</x:v>
      </x:c>
      <x:c r="C11" t="n">
        <x:f>COUNTIFS(Study_Coding!$B$2:$B$54,"Original 34",Study_Coding!$D$2:$D$54,"Energy / WEF nexus")</x:f>
        <x:v>4</x:v>
      </x:c>
      <x:c r="D11" s="26" t="n">
        <x:f>C11/34</x:f>
        <x:v>0.11764705882352941</x:v>
      </x:c>
      <x:c r="E11" t="n">
        <x:f>COUNTIF(Study_Coding!$D$2:$D$54,"Energy / WEF nexus")</x:f>
        <x:v>5</x:v>
      </x:c>
      <x:c r="F11" s="26" t="n">
        <x:f>E11/53</x:f>
        <x:v>0.09433962264150944</x:v>
      </x:c>
      <x:c r="G11" t="n">
        <x:f>E11-C11</x:f>
        <x:v>1</x:v>
      </x:c>
      <x:c r="H11" s="26" t="n">
        <x:f>F11-D11</x:f>
        <x:v>-0.02330743618201997</x:v>
      </x:c>
    </x:row>
    <x:row r="12">
      <x:c r="A12" t="str">
        <x:v>Primary domain</x:v>
      </x:c>
      <x:c r="B12" t="str">
        <x:v>Soil / nutrient / environmental management</x:v>
      </x:c>
      <x:c r="C12" t="n">
        <x:f>COUNTIFS(Study_Coding!$B$2:$B$54,"Original 34",Study_Coding!$D$2:$D$54,"Soil / nutrient / environmental management")</x:f>
        <x:v>2</x:v>
      </x:c>
      <x:c r="D12" s="26" t="n">
        <x:f>C12/34</x:f>
        <x:v>0.058823529411764705</x:v>
      </x:c>
      <x:c r="E12" t="n">
        <x:f>COUNTIF(Study_Coding!$D$2:$D$54,"Soil / nutrient / environmental management")</x:f>
        <x:v>4</x:v>
      </x:c>
      <x:c r="F12" s="26" t="n">
        <x:f>E12/53</x:f>
        <x:v>0.07547169811320754</x:v>
      </x:c>
      <x:c r="G12" t="n">
        <x:f>E12-C12</x:f>
        <x:v>2</x:v>
      </x:c>
      <x:c r="H12" s="26" t="n">
        <x:f>F12-D12</x:f>
        <x:v>0.01664816870144284</x:v>
      </x:c>
    </x:row>
    <x:row r="13">
      <x:c r="A13" t="str">
        <x:v>System scope</x:v>
      </x:c>
      <x:c r="B13" t="str">
        <x:v>Integrated-system</x:v>
      </x:c>
      <x:c r="C13" t="n">
        <x:f>COUNTIFS(Study_Coding!$B$2:$B$54,"Original 34",Study_Coding!$F$2:$F$54,"Integrated-system")</x:f>
        <x:v>13</x:v>
      </x:c>
      <x:c r="D13" s="26" t="n">
        <x:f>C13/34</x:f>
        <x:v>0.38235294117647056</x:v>
      </x:c>
      <x:c r="E13" t="n">
        <x:f>COUNTIF(Study_Coding!$F$2:$F$54,"Integrated-system")</x:f>
        <x:v>27</x:v>
      </x:c>
      <x:c r="F13" s="26" t="n">
        <x:f>E13/53</x:f>
        <x:v>0.5094339622641509</x:v>
      </x:c>
      <x:c r="G13" t="n">
        <x:f>E13-C13</x:f>
        <x:v>14</x:v>
      </x:c>
      <x:c r="H13" s="26" t="n">
        <x:f>F13-D13</x:f>
        <x:v>0.12708102108768038</x:v>
      </x:c>
    </x:row>
    <x:row r="14">
      <x:c r="A14" t="str">
        <x:v>System scope</x:v>
      </x:c>
      <x:c r="B14" t="str">
        <x:v>Single-domain</x:v>
      </x:c>
      <x:c r="C14" t="n">
        <x:f>COUNTIFS(Study_Coding!$B$2:$B$54,"Original 34",Study_Coding!$F$2:$F$54,"Single-domain")</x:f>
        <x:v>19</x:v>
      </x:c>
      <x:c r="D14" s="26" t="n">
        <x:f>C14/34</x:f>
        <x:v>0.5588235294117647</x:v>
      </x:c>
      <x:c r="E14" t="n">
        <x:f>COUNTIF(Study_Coding!$F$2:$F$54,"Single-domain")</x:f>
        <x:v>23</x:v>
      </x:c>
      <x:c r="F14" s="26" t="n">
        <x:f>E14/53</x:f>
        <x:v>0.4339622641509434</x:v>
      </x:c>
      <x:c r="G14" t="n">
        <x:f>E14-C14</x:f>
        <x:v>4</x:v>
      </x:c>
      <x:c r="H14" s="26" t="n">
        <x:f>F14-D14</x:f>
        <x:v>-0.12486126526082131</x:v>
      </x:c>
    </x:row>
    <x:row r="15">
      <x:c r="A15" t="str">
        <x:v>System scope</x:v>
      </x:c>
      <x:c r="B15" t="str">
        <x:v>Multi-domain</x:v>
      </x:c>
      <x:c r="C15" t="n">
        <x:f>COUNTIFS(Study_Coding!$B$2:$B$54,"Original 34",Study_Coding!$F$2:$F$54,"Multi-domain")</x:f>
        <x:v>2</x:v>
      </x:c>
      <x:c r="D15" s="26" t="n">
        <x:f>C15/34</x:f>
        <x:v>0.058823529411764705</x:v>
      </x:c>
      <x:c r="E15" t="n">
        <x:f>COUNTIF(Study_Coding!$F$2:$F$54,"Multi-domain")</x:f>
        <x:v>3</x:v>
      </x:c>
      <x:c r="F15" s="26" t="n">
        <x:f>E15/53</x:f>
        <x:v>0.05660377358490566</x:v>
      </x:c>
      <x:c r="G15" t="n">
        <x:f>E15-C15</x:f>
        <x:v>1</x:v>
      </x:c>
      <x:c r="H15" s="26" t="n">
        <x:f>F15-D15</x:f>
        <x:v>-0.0022197558268590434</x:v>
      </x:c>
    </x:row>
    <x:row r="16">
      <x:c r="A16" t="str">
        <x:v>Maturity</x:v>
      </x:c>
      <x:c r="B16" t="str">
        <x:v>Simulation</x:v>
      </x:c>
      <x:c r="C16" t="n">
        <x:f>COUNTIFS(Study_Coding!$B$2:$B$54,"Original 34",Study_Coding!$G$2:$G$54,"Simulation")</x:f>
        <x:v>27</x:v>
      </x:c>
      <x:c r="D16" s="26" t="n">
        <x:f>C16/34</x:f>
        <x:v>0.7941176470588235</x:v>
      </x:c>
      <x:c r="E16" t="n">
        <x:f>COUNTIF(Study_Coding!$G$2:$G$54,"Simulation")</x:f>
        <x:v>46</x:v>
      </x:c>
      <x:c r="F16" s="26" t="n">
        <x:f>E16/53</x:f>
        <x:v>0.8679245283018868</x:v>
      </x:c>
      <x:c r="G16" t="n">
        <x:f>E16-C16</x:f>
        <x:v>19</x:v>
      </x:c>
      <x:c r="H16" s="26" t="n">
        <x:f>F16-D16</x:f>
        <x:v>0.07380688124306334</x:v>
      </x:c>
    </x:row>
    <x:row r="17">
      <x:c r="A17" t="str">
        <x:v>Maturity</x:v>
      </x:c>
      <x:c r="B17" t="str">
        <x:v>Prototype</x:v>
      </x:c>
      <x:c r="C17" t="n">
        <x:f>COUNTIFS(Study_Coding!$B$2:$B$54,"Original 34",Study_Coding!$G$2:$G$54,"Prototype")</x:f>
        <x:v>4</x:v>
      </x:c>
      <x:c r="D17" s="26" t="n">
        <x:f>C17/34</x:f>
        <x:v>0.11764705882352941</x:v>
      </x:c>
      <x:c r="E17" t="n">
        <x:f>COUNTIF(Study_Coding!$G$2:$G$54,"Prototype")</x:f>
        <x:v>4</x:v>
      </x:c>
      <x:c r="F17" s="26" t="n">
        <x:f>E17/53</x:f>
        <x:v>0.07547169811320754</x:v>
      </x:c>
      <x:c r="G17" t="n">
        <x:f>E17-C17</x:f>
        <x:v>0</x:v>
      </x:c>
      <x:c r="H17" s="26" t="n">
        <x:f>F17-D17</x:f>
        <x:v>-0.042175360710321866</x:v>
      </x:c>
    </x:row>
    <x:row r="18">
      <x:c r="A18" t="str">
        <x:v>Maturity</x:v>
      </x:c>
      <x:c r="B18" t="str">
        <x:v>Field pilot</x:v>
      </x:c>
      <x:c r="C18" t="n">
        <x:f>COUNTIFS(Study_Coding!$B$2:$B$54,"Original 34",Study_Coding!$G$2:$G$54,"Field pilot")</x:f>
        <x:v>2</x:v>
      </x:c>
      <x:c r="D18" s="26" t="n">
        <x:f>C18/34</x:f>
        <x:v>0.058823529411764705</x:v>
      </x:c>
      <x:c r="E18" t="n">
        <x:f>COUNTIF(Study_Coding!$G$2:$G$54,"Field pilot")</x:f>
        <x:v>2</x:v>
      </x:c>
      <x:c r="F18" s="26" t="n">
        <x:f>E18/53</x:f>
        <x:v>0.03773584905660377</x:v>
      </x:c>
      <x:c r="G18" t="n">
        <x:f>E18-C18</x:f>
        <x:v>0</x:v>
      </x:c>
      <x:c r="H18" s="26" t="n">
        <x:f>F18-D18</x:f>
        <x:v>-0.021087680355160933</x:v>
      </x:c>
    </x:row>
    <x:row r="19">
      <x:c r="A19" t="str">
        <x:v>Maturity</x:v>
      </x:c>
      <x:c r="B19" t="str">
        <x:v>Controlled experiment</x:v>
      </x:c>
      <x:c r="C19" t="n">
        <x:f>COUNTIFS(Study_Coding!$B$2:$B$54,"Original 34",Study_Coding!$G$2:$G$54,"Controlled experiment")</x:f>
        <x:v>1</x:v>
      </x:c>
      <x:c r="D19" s="26" t="n">
        <x:f>C19/34</x:f>
        <x:v>0.029411764705882353</x:v>
      </x:c>
      <x:c r="E19" t="n">
        <x:f>COUNTIF(Study_Coding!$G$2:$G$54,"Controlled experiment")</x:f>
        <x:v>1</x:v>
      </x:c>
      <x:c r="F19" s="26" t="n">
        <x:f>E19/53</x:f>
        <x:v>0.018867924528301886</x:v>
      </x:c>
      <x:c r="G19" t="n">
        <x:f>E19-C19</x:f>
        <x:v>0</x:v>
      </x:c>
      <x:c r="H19" s="26" t="n">
        <x:f>F19-D19</x:f>
        <x:v>-0.010543840177580466</x:v>
      </x:c>
    </x:row>
    <x:row r="20">
      <x:c r="A20" t="str">
        <x:v>Architecture</x:v>
      </x:c>
      <x:c r="B20" t="str">
        <x:v>Decentralised</x:v>
      </x:c>
      <x:c r="C20" t="n">
        <x:f>COUNTIFS(Study_Coding!$B$2:$B$54,"Original 34",Study_Coding!$H$2:$H$54,"Decentralised")</x:f>
        <x:v>10</x:v>
      </x:c>
      <x:c r="D20" s="26" t="n">
        <x:f>C20/34</x:f>
        <x:v>0.29411764705882354</x:v>
      </x:c>
      <x:c r="E20" t="n">
        <x:f>COUNTIF(Study_Coding!$H$2:$H$54,"Decentralised")</x:f>
        <x:v>17</x:v>
      </x:c>
      <x:c r="F20" s="26" t="n">
        <x:f>E20/53</x:f>
        <x:v>0.32075471698113206</x:v>
      </x:c>
      <x:c r="G20" t="n">
        <x:f>E20-C20</x:f>
        <x:v>7</x:v>
      </x:c>
      <x:c r="H20" s="26" t="n">
        <x:f>F20-D20</x:f>
        <x:v>0.02663706992230852</x:v>
      </x:c>
    </x:row>
    <x:row r="21">
      <x:c r="A21" t="str">
        <x:v>Architecture</x:v>
      </x:c>
      <x:c r="B21" t="str">
        <x:v>Hybrid</x:v>
      </x:c>
      <x:c r="C21" t="n">
        <x:f>COUNTIFS(Study_Coding!$B$2:$B$54,"Original 34",Study_Coding!$H$2:$H$54,"Hybrid")</x:f>
        <x:v>8</x:v>
      </x:c>
      <x:c r="D21" s="26" t="n">
        <x:f>C21/34</x:f>
        <x:v>0.23529411764705882</x:v>
      </x:c>
      <x:c r="E21" t="n">
        <x:f>COUNTIF(Study_Coding!$H$2:$H$54,"Hybrid")</x:f>
        <x:v>13</x:v>
      </x:c>
      <x:c r="F21" s="26" t="n">
        <x:f>E21/53</x:f>
        <x:v>0.24528301886792453</x:v>
      </x:c>
      <x:c r="G21" t="n">
        <x:f>E21-C21</x:f>
        <x:v>5</x:v>
      </x:c>
      <x:c r="H21" s="26" t="n">
        <x:f>F21-D21</x:f>
        <x:v>0.009988901220865709</x:v>
      </x:c>
    </x:row>
    <x:row r="22">
      <x:c r="A22" t="str">
        <x:v>Architecture</x:v>
      </x:c>
      <x:c r="B22" t="str">
        <x:v>Hierarchical</x:v>
      </x:c>
      <x:c r="C22" t="n">
        <x:f>COUNTIFS(Study_Coding!$B$2:$B$54,"Original 34",Study_Coding!$H$2:$H$54,"Hierarchical")</x:f>
        <x:v>7</x:v>
      </x:c>
      <x:c r="D22" s="26" t="n">
        <x:f>C22/34</x:f>
        <x:v>0.20588235294117646</x:v>
      </x:c>
      <x:c r="E22" t="n">
        <x:f>COUNTIF(Study_Coding!$H$2:$H$54,"Hierarchical")</x:f>
        <x:v>11</x:v>
      </x:c>
      <x:c r="F22" s="26" t="n">
        <x:f>E22/53</x:f>
        <x:v>0.20754716981132076</x:v>
      </x:c>
      <x:c r="G22" t="n">
        <x:f>E22-C22</x:f>
        <x:v>4</x:v>
      </x:c>
      <x:c r="H22" s="26" t="n">
        <x:f>F22-D22</x:f>
        <x:v>0.0016648168701443034</x:v>
      </x:c>
    </x:row>
    <x:row r="23">
      <x:c r="A23" t="str">
        <x:v>Architecture</x:v>
      </x:c>
      <x:c r="B23" t="str">
        <x:v>Centralised</x:v>
      </x:c>
      <x:c r="C23" t="n">
        <x:f>COUNTIFS(Study_Coding!$B$2:$B$54,"Original 34",Study_Coding!$H$2:$H$54,"Centralised")</x:f>
        <x:v>7</x:v>
      </x:c>
      <x:c r="D23" s="26" t="n">
        <x:f>C23/34</x:f>
        <x:v>0.20588235294117646</x:v>
      </x:c>
      <x:c r="E23" t="n">
        <x:f>COUNTIF(Study_Coding!$H$2:$H$54,"Centralised")</x:f>
        <x:v>10</x:v>
      </x:c>
      <x:c r="F23" s="26" t="n">
        <x:f>E23/53</x:f>
        <x:v>0.18867924528301888</x:v>
      </x:c>
      <x:c r="G23" t="n">
        <x:f>E23-C23</x:f>
        <x:v>3</x:v>
      </x:c>
      <x:c r="H23" s="26" t="n">
        <x:f>F23-D23</x:f>
        <x:v>-0.01720310765815758</x:v>
      </x:c>
    </x:row>
    <x:row r="24">
      <x:c r="A24" t="str">
        <x:v>Architecture</x:v>
      </x:c>
      <x:c r="B24" t="str">
        <x:v>Distributed</x:v>
      </x:c>
      <x:c r="C24" t="n">
        <x:f>COUNTIFS(Study_Coding!$B$2:$B$54,"Original 34",Study_Coding!$H$2:$H$54,"Distributed")</x:f>
        <x:v>2</x:v>
      </x:c>
      <x:c r="D24" s="26" t="n">
        <x:f>C24/34</x:f>
        <x:v>0.058823529411764705</x:v>
      </x:c>
      <x:c r="E24" t="n">
        <x:f>COUNTIF(Study_Coding!$H$2:$H$54,"Distributed")</x:f>
        <x:v>2</x:v>
      </x:c>
      <x:c r="F24" s="26" t="n">
        <x:f>E24/53</x:f>
        <x:v>0.03773584905660377</x:v>
      </x:c>
      <x:c r="G24" t="n">
        <x:f>E24-C24</x:f>
        <x:v>0</x:v>
      </x:c>
      <x:c r="H24" s="26" t="n">
        <x:f>F24-D24</x:f>
        <x:v>-0.021087680355160933</x:v>
      </x:c>
    </x:row>
    <x:row r="25">
      <x:c r="A25" t="str">
        <x:v>Sustainability</x:v>
      </x:c>
      <x:c r="B25" t="str">
        <x:v>Direct</x:v>
      </x:c>
      <x:c r="C25" t="n">
        <x:f>COUNTIFS(Study_Coding!$B$2:$B$54,"Original 34",Study_Coding!$I$2:$I$54,"Direct")</x:f>
        <x:v>21</x:v>
      </x:c>
      <x:c r="D25" s="26" t="n">
        <x:f>C25/34</x:f>
        <x:v>0.6176470588235294</x:v>
      </x:c>
      <x:c r="E25" t="n">
        <x:f>COUNTIF(Study_Coding!$I$2:$I$54,"Direct")</x:f>
        <x:v>39</x:v>
      </x:c>
      <x:c r="F25" s="26" t="n">
        <x:f>E25/53</x:f>
        <x:v>0.7358490566037735</x:v>
      </x:c>
      <x:c r="G25" t="n">
        <x:f>E25-C25</x:f>
        <x:v>18</x:v>
      </x:c>
      <x:c r="H25" s="26" t="n">
        <x:f>F25-D25</x:f>
        <x:v>0.1182019977802441</x:v>
      </x:c>
    </x:row>
    <x:row r="26">
      <x:c r="A26" t="str">
        <x:v>Sustainability</x:v>
      </x:c>
      <x:c r="B26" t="str">
        <x:v>Indirect</x:v>
      </x:c>
      <x:c r="C26" t="n">
        <x:f>COUNTIFS(Study_Coding!$B$2:$B$54,"Original 34",Study_Coding!$I$2:$I$54,"Indirect")</x:f>
        <x:v>11</x:v>
      </x:c>
      <x:c r="D26" s="26" t="n">
        <x:f>C26/34</x:f>
        <x:v>0.3235294117647059</x:v>
      </x:c>
      <x:c r="E26" t="n">
        <x:f>COUNTIF(Study_Coding!$I$2:$I$54,"Indirect")</x:f>
        <x:v>12</x:v>
      </x:c>
      <x:c r="F26" s="26" t="n">
        <x:f>E26/53</x:f>
        <x:v>0.22641509433962265</x:v>
      </x:c>
      <x:c r="G26" t="n">
        <x:f>E26-C26</x:f>
        <x:v>1</x:v>
      </x:c>
      <x:c r="H26" s="26" t="n">
        <x:f>F26-D26</x:f>
        <x:v>-0.09711431742508325</x:v>
      </x:c>
    </x:row>
    <x:row r="27">
      <x:c r="A27" t="str">
        <x:v>Sustainability</x:v>
      </x:c>
      <x:c r="B27" t="str">
        <x:v>Not addressed</x:v>
      </x:c>
      <x:c r="C27" t="n">
        <x:f>COUNTIFS(Study_Coding!$B$2:$B$54,"Original 34",Study_Coding!$I$2:$I$54,"Not addressed")</x:f>
        <x:v>2</x:v>
      </x:c>
      <x:c r="D27" s="26" t="n">
        <x:f>C27/34</x:f>
        <x:v>0.058823529411764705</x:v>
      </x:c>
      <x:c r="E27" t="n">
        <x:f>COUNTIF(Study_Coding!$I$2:$I$54,"Not addressed")</x:f>
        <x:v>2</x:v>
      </x:c>
      <x:c r="F27" s="26" t="n">
        <x:f>E27/53</x:f>
        <x:v>0.03773584905660377</x:v>
      </x:c>
      <x:c r="G27" t="n">
        <x:f>E27-C27</x:f>
        <x:v>0</x:v>
      </x:c>
      <x:c r="H27" s="26" t="n">
        <x:f>F27-D27</x:f>
        <x:v>-0.021087680355160933</x:v>
      </x:c>
    </x:row>
    <x:row r="28">
      <x:c r="A28" t="str">
        <x:v>Resource constraint</x:v>
      </x:c>
      <x:c r="B28" t="str">
        <x:v>Yes</x:v>
      </x:c>
      <x:c r="C28" t="n">
        <x:f>COUNTIFS(Study_Coding!$B$2:$B$54,"Original 34",Study_Coding!$J$2:$J$54,"Yes")</x:f>
        <x:v>31</x:v>
      </x:c>
      <x:c r="D28" s="26" t="n">
        <x:f>C28/34</x:f>
        <x:v>0.9117647058823529</x:v>
      </x:c>
      <x:c r="E28" t="n">
        <x:f>COUNTIF(Study_Coding!$J$2:$J$54,"Yes")</x:f>
        <x:v>50</x:v>
      </x:c>
      <x:c r="F28" s="26" t="n">
        <x:f>E28/53</x:f>
        <x:v>0.9433962264150944</x:v>
      </x:c>
      <x:c r="G28" t="n">
        <x:f>E28-C28</x:f>
        <x:v>19</x:v>
      </x:c>
      <x:c r="H28" s="26" t="n">
        <x:f>F28-D28</x:f>
        <x:v>0.03163152053274143</x:v>
      </x:c>
    </x:row>
    <x:row r="29">
      <x:c r="A29" t="str">
        <x:v>Resource constraint</x:v>
      </x:c>
      <x:c r="B29" t="str">
        <x:v>No</x:v>
      </x:c>
      <x:c r="C29" t="n">
        <x:f>COUNTIFS(Study_Coding!$B$2:$B$54,"Original 34",Study_Coding!$J$2:$J$54,"No")</x:f>
        <x:v>2</x:v>
      </x:c>
      <x:c r="D29" s="26" t="n">
        <x:f>C29/34</x:f>
        <x:v>0.058823529411764705</x:v>
      </x:c>
      <x:c r="E29" t="n">
        <x:f>COUNTIF(Study_Coding!$J$2:$J$54,"No")</x:f>
        <x:v>2</x:v>
      </x:c>
      <x:c r="F29" s="26" t="n">
        <x:f>E29/53</x:f>
        <x:v>0.03773584905660377</x:v>
      </x:c>
      <x:c r="G29" t="n">
        <x:f>E29-C29</x:f>
        <x:v>0</x:v>
      </x:c>
      <x:c r="H29" s="26" t="n">
        <x:f>F29-D29</x:f>
        <x:v>-0.021087680355160933</x:v>
      </x:c>
    </x:row>
    <x:row r="30">
      <x:c r="A30" t="str">
        <x:v>Resource constraint</x:v>
      </x:c>
      <x:c r="B30" t="str">
        <x:v>NA</x:v>
      </x:c>
      <x:c r="C30" t="n">
        <x:f>COUNTIFS(Study_Coding!$B$2:$B$54,"Original 34",Study_Coding!$J$2:$J$54,"NA")</x:f>
        <x:v>1</x:v>
      </x:c>
      <x:c r="D30" s="26" t="n">
        <x:f>C30/34</x:f>
        <x:v>0.029411764705882353</x:v>
      </x:c>
      <x:c r="E30" t="n">
        <x:f>COUNTIF(Study_Coding!$J$2:$J$54,"NA")</x:f>
        <x:v>1</x:v>
      </x:c>
      <x:c r="F30" s="26" t="n">
        <x:f>E30/53</x:f>
        <x:v>0.018867924528301886</x:v>
      </x:c>
      <x:c r="G30" t="n">
        <x:f>E30-C30</x:f>
        <x:v>0</x:v>
      </x:c>
      <x:c r="H30" s="26" t="n">
        <x:f>F30-D30</x:f>
        <x:v>-0.010543840177580466</x:v>
      </x:c>
    </x:row>
    <x:row r="31">
      <x:c r="A31" t="str">
        <x:v>Deployment</x:v>
      </x:c>
      <x:c r="B31" t="str">
        <x:v>Yes</x:v>
      </x:c>
      <x:c r="C31" t="n">
        <x:f>COUNTIFS(Study_Coding!$B$2:$B$54,"Original 34",Study_Coding!$K$2:$K$54,"Yes")</x:f>
        <x:v>1</x:v>
      </x:c>
      <x:c r="D31" s="26" t="n">
        <x:f>C31/34</x:f>
        <x:v>0.029411764705882353</x:v>
      </x:c>
      <x:c r="E31" t="n">
        <x:f>COUNTIF(Study_Coding!$K$2:$K$54,"Yes")</x:f>
        <x:v>1</x:v>
      </x:c>
      <x:c r="F31" s="26" t="n">
        <x:f>E31/53</x:f>
        <x:v>0.018867924528301886</x:v>
      </x:c>
      <x:c r="G31" t="n">
        <x:f>E31-C31</x:f>
        <x:v>0</x:v>
      </x:c>
      <x:c r="H31" s="26" t="n">
        <x:f>F31-D31</x:f>
        <x:v>-0.010543840177580466</x:v>
      </x:c>
    </x:row>
    <x:row r="32">
      <x:c r="A32" t="str">
        <x:v>Deployment</x:v>
      </x:c>
      <x:c r="B32" t="str">
        <x:v>Partial</x:v>
      </x:c>
      <x:c r="C32" t="n">
        <x:f>COUNTIFS(Study_Coding!$B$2:$B$54,"Original 34",Study_Coding!$K$2:$K$54,"Partial")</x:f>
        <x:v>1</x:v>
      </x:c>
      <x:c r="D32" s="26" t="n">
        <x:f>C32/34</x:f>
        <x:v>0.029411764705882353</x:v>
      </x:c>
      <x:c r="E32" t="n">
        <x:f>COUNTIF(Study_Coding!$K$2:$K$54,"Partial")</x:f>
        <x:v>1</x:v>
      </x:c>
      <x:c r="F32" s="26" t="n">
        <x:f>E32/53</x:f>
        <x:v>0.018867924528301886</x:v>
      </x:c>
      <x:c r="G32" t="n">
        <x:f>E32-C32</x:f>
        <x:v>0</x:v>
      </x:c>
      <x:c r="H32" s="26" t="n">
        <x:f>F32-D32</x:f>
        <x:v>-0.010543840177580466</x:v>
      </x:c>
    </x:row>
    <x:row r="33">
      <x:c r="A33" t="str">
        <x:v>Deployment</x:v>
      </x:c>
      <x:c r="B33" t="str">
        <x:v>No</x:v>
      </x:c>
      <x:c r="C33" t="n">
        <x:f>COUNTIFS(Study_Coding!$B$2:$B$54,"Original 34",Study_Coding!$K$2:$K$54,"No")</x:f>
        <x:v>32</x:v>
      </x:c>
      <x:c r="D33" s="26" t="n">
        <x:f>C33/34</x:f>
        <x:v>0.9411764705882353</x:v>
      </x:c>
      <x:c r="E33" t="n">
        <x:f>COUNTIF(Study_Coding!$K$2:$K$54,"No")</x:f>
        <x:v>51</x:v>
      </x:c>
      <x:c r="F33" s="26" t="n">
        <x:f>E33/53</x:f>
        <x:v>0.9622641509433962</x:v>
      </x:c>
      <x:c r="G33" t="n">
        <x:f>E33-C33</x:f>
        <x:v>19</x:v>
      </x:c>
      <x:c r="H33" s="26" t="n">
        <x:f>F33-D33</x:f>
        <x:v>0.021087680355160954</x:v>
      </x:c>
    </x:row>
    <x:row r="34">
      <x:c r="A34" t="str">
        <x:v>Code availability</x:v>
      </x:c>
      <x:c r="B34" t="str">
        <x:v>Yes</x:v>
      </x:c>
      <x:c r="C34" t="n">
        <x:f>COUNTIFS(Study_Coding!$B$2:$B$54,"Original 34",Study_Coding!$L$2:$L$54,"Yes")</x:f>
        <x:v>3</x:v>
      </x:c>
      <x:c r="D34" s="26" t="n">
        <x:f>C34/34</x:f>
        <x:v>0.08823529411764706</x:v>
      </x:c>
      <x:c r="E34" t="n">
        <x:f>COUNTIF(Study_Coding!$L$2:$L$54,"Yes")</x:f>
        <x:v>8</x:v>
      </x:c>
      <x:c r="F34" s="26" t="n">
        <x:f>E34/53</x:f>
        <x:v>0.1509433962264151</x:v>
      </x:c>
      <x:c r="G34" t="n">
        <x:f>E34-C34</x:f>
        <x:v>5</x:v>
      </x:c>
      <x:c r="H34" s="26" t="n">
        <x:f>F34-D34</x:f>
        <x:v>0.06270810210876802</x:v>
      </x:c>
    </x:row>
    <x:row r="35">
      <x:c r="A35" t="str">
        <x:v>Code availability</x:v>
      </x:c>
      <x:c r="B35" t="str">
        <x:v>NR</x:v>
      </x:c>
      <x:c r="C35" t="n">
        <x:f>COUNTIFS(Study_Coding!$B$2:$B$54,"Original 34",Study_Coding!$L$2:$L$54,"NR")</x:f>
        <x:v>31</x:v>
      </x:c>
      <x:c r="D35" s="26" t="n">
        <x:f>C35/34</x:f>
        <x:v>0.9117647058823529</x:v>
      </x:c>
      <x:c r="E35" t="n">
        <x:f>COUNTIF(Study_Coding!$L$2:$L$54,"NR")</x:f>
        <x:v>45</x:v>
      </x:c>
      <x:c r="F35" s="26" t="n">
        <x:f>E35/53</x:f>
        <x:v>0.8490566037735849</x:v>
      </x:c>
      <x:c r="G35" t="n">
        <x:f>E35-C35</x:f>
        <x:v>14</x:v>
      </x:c>
      <x:c r="H35" s="26" t="n">
        <x:f>F35-D35</x:f>
        <x:v>-0.06270810210876798</x:v>
      </x:c>
    </x:row>
    <x:row r="36">
      <x:c r="A36" t="str">
        <x:v>Data availability</x:v>
      </x:c>
      <x:c r="B36" t="str">
        <x:v>Yes</x:v>
      </x:c>
      <x:c r="C36" t="n">
        <x:f>COUNTIFS(Study_Coding!$B$2:$B$54,"Original 34",Study_Coding!$M$2:$M$54,"Yes")</x:f>
        <x:v>6</x:v>
      </x:c>
      <x:c r="D36" s="26" t="n">
        <x:f>C36/34</x:f>
        <x:v>0.17647058823529413</x:v>
      </x:c>
      <x:c r="E36" t="n">
        <x:f>COUNTIF(Study_Coding!$M$2:$M$54,"Yes")</x:f>
        <x:v>14</x:v>
      </x:c>
      <x:c r="F36" s="26" t="n">
        <x:f>E36/53</x:f>
        <x:v>0.2641509433962264</x:v>
      </x:c>
      <x:c r="G36" t="n">
        <x:f>E36-C36</x:f>
        <x:v>8</x:v>
      </x:c>
      <x:c r="H36" s="26" t="n">
        <x:f>F36-D36</x:f>
        <x:v>0.08768035516093228</x:v>
      </x:c>
    </x:row>
    <x:row r="37">
      <x:c r="A37" t="str">
        <x:v>Data availability</x:v>
      </x:c>
      <x:c r="B37" t="str">
        <x:v>No</x:v>
      </x:c>
      <x:c r="C37" t="n">
        <x:f>COUNTIFS(Study_Coding!$B$2:$B$54,"Original 34",Study_Coding!$M$2:$M$54,"No")</x:f>
        <x:v>1</x:v>
      </x:c>
      <x:c r="D37" s="26" t="n">
        <x:f>C37/34</x:f>
        <x:v>0.029411764705882353</x:v>
      </x:c>
      <x:c r="E37" t="n">
        <x:f>COUNTIF(Study_Coding!$M$2:$M$54,"No")</x:f>
        <x:v>2</x:v>
      </x:c>
      <x:c r="F37" s="26" t="n">
        <x:f>E37/53</x:f>
        <x:v>0.03773584905660377</x:v>
      </x:c>
      <x:c r="G37" t="n">
        <x:f>E37-C37</x:f>
        <x:v>1</x:v>
      </x:c>
      <x:c r="H37" s="26" t="n">
        <x:f>F37-D37</x:f>
        <x:v>0.00832408435072142</x:v>
      </x:c>
    </x:row>
    <x:row r="38">
      <x:c r="A38" t="str">
        <x:v>Data availability</x:v>
      </x:c>
      <x:c r="B38" t="str">
        <x:v>NR</x:v>
      </x:c>
      <x:c r="C38" t="n">
        <x:f>COUNTIFS(Study_Coding!$B$2:$B$54,"Original 34",Study_Coding!$M$2:$M$54,"NR")</x:f>
        <x:v>27</x:v>
      </x:c>
      <x:c r="D38" s="26" t="n">
        <x:f>C38/34</x:f>
        <x:v>0.7941176470588235</x:v>
      </x:c>
      <x:c r="E38" t="n">
        <x:f>COUNTIF(Study_Coding!$M$2:$M$54,"NR")</x:f>
        <x:v>37</x:v>
      </x:c>
      <x:c r="F38" s="26" t="n">
        <x:f>E38/53</x:f>
        <x:v>0.6981132075471698</x:v>
      </x:c>
      <x:c r="G38" t="n">
        <x:f>E38-C38</x:f>
        <x:v>10</x:v>
      </x:c>
      <x:c r="H38" s="26" t="n">
        <x:f>F38-D38</x:f>
        <x:v>-0.09600443951165372</x:v>
      </x:c>
    </x:row>
  </x:sheetData>
  <x:mergeCells>
    <x:mergeCell ref="A1:H2"/>
  </x:mergeCells>
  <x:pageMargins left="0.7" right="0.7" top="0.75" bottom="0.75" header="0.3" footer="0.3"/>
</x:worksheet>
</file>