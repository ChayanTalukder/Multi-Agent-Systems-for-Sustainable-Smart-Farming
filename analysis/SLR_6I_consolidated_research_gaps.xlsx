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ca448ff66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d724c7689cb44f6"/>
    <x:sheet xmlns:r="http://schemas.openxmlformats.org/officeDocument/2006/relationships" name="Priority Gaps" sheetId="2" r:id="R208e434d1c0e427c"/>
    <x:sheet xmlns:r="http://schemas.openxmlformats.org/officeDocument/2006/relationships" name="Author Gap Coding" sheetId="3" r:id="R845d953984fc4a56"/>
    <x:sheet xmlns:r="http://schemas.openxmlformats.org/officeDocument/2006/relationships" name="44 Family Map" sheetId="4" r:id="R9c14b53244a0487f"/>
    <x:sheet xmlns:r="http://schemas.openxmlformats.org/officeDocument/2006/relationships" name="Domain x Gaps" sheetId="5" r:id="R8d54ca8880824c06"/>
    <x:sheet xmlns:r="http://schemas.openxmlformats.org/officeDocument/2006/relationships" name="Evidence Triangulation" sheetId="6" r:id="Ra0fcae6a354d4f7d"/>
    <x:sheet xmlns:r="http://schemas.openxmlformats.org/officeDocument/2006/relationships" name="Coverage Signals" sheetId="7" r:id="R5c6ce95af19445f5"/>
    <x:sheet xmlns:r="http://schemas.openxmlformats.org/officeDocument/2006/relationships" name="Non-gaps and Cautions" sheetId="8" r:id="R974d88a2adf6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532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2F5D7E"/>
      </x:patternFill>
    </x:fill>
    <x:fill>
      <x:patternFill patternType="solid">
        <x:fgColor rgb="FFDCE6E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adcf98e934fbe" /><Relationship Type="http://schemas.openxmlformats.org/officeDocument/2006/relationships/theme" Target="/xl/theme/theme1.xml" Id="Rd2d5dccd90284ed7" /><Relationship Type="http://schemas.openxmlformats.org/officeDocument/2006/relationships/sharedStrings" Target="/xl/sharedStrings.xml" Id="Rde534949fc4a46ea" /><Relationship Type="http://schemas.openxmlformats.org/officeDocument/2006/relationships/worksheet" Target="/xl/worksheets/sheet1.xml" Id="R5d724c7689cb44f6" /><Relationship Type="http://schemas.openxmlformats.org/officeDocument/2006/relationships/worksheet" Target="/xl/worksheets/sheet2.xml" Id="R208e434d1c0e427c" /><Relationship Type="http://schemas.openxmlformats.org/officeDocument/2006/relationships/worksheet" Target="/xl/worksheets/sheet3.xml" Id="R845d953984fc4a56" /><Relationship Type="http://schemas.openxmlformats.org/officeDocument/2006/relationships/worksheet" Target="/xl/worksheets/sheet4.xml" Id="R9c14b53244a0487f" /><Relationship Type="http://schemas.openxmlformats.org/officeDocument/2006/relationships/worksheet" Target="/xl/worksheets/sheet5.xml" Id="R8d54ca8880824c06" /><Relationship Type="http://schemas.openxmlformats.org/officeDocument/2006/relationships/worksheet" Target="/xl/worksheets/sheet6.xml" Id="Ra0fcae6a354d4f7d" /><Relationship Type="http://schemas.openxmlformats.org/officeDocument/2006/relationships/worksheet" Target="/xl/worksheets/sheet7.xml" Id="R5c6ce95af19445f5" /><Relationship Type="http://schemas.openxmlformats.org/officeDocument/2006/relationships/worksheet" Target="/xl/worksheets/sheet8.xml" Id="R974d88a2adf642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65d8c4781047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Family-level author-reported gap support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Consolidated research gap</c:v>
          </c:tx>
          <c:cat>
            <c:strRef>
              <c:f>'Priority Gaps'!$A$4:$A$12</c:f>
              <c:strCache>
                <c:ptCount val="0"/>
              </c:strCache>
            </c:strRef>
          </c:cat>
          <c:val>
            <c:numRef>
              <c:f>'Priority Gaps'!$B$4:$B$12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Priority</c:v>
          </c:tx>
          <c:cat>
            <c:strRef>
              <c:f>'Priority Gaps'!$A$4:$A$12</c:f>
              <c:strCache>
                <c:ptCount val="0"/>
              </c:strCache>
            </c:strRef>
          </c:cat>
          <c:val>
            <c:numRef>
              <c:f>'Priority Gaps'!$C$4:$C$12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Author theme</c:v>
          </c:tx>
          <c:cat>
            <c:strRef>
              <c:f>'Priority Gaps'!$A$4:$A$12</c:f>
              <c:strCache>
                <c:ptCount val="0"/>
              </c:strCache>
            </c:strRef>
          </c:cat>
          <c:val>
            <c:numRef>
              <c:f>'Priority Gaps'!$D$4:$D$12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Author-coded pubs</c:v>
          </c:tx>
          <c:cat>
            <c:strRef>
              <c:f>'Priority Gaps'!$A$4:$A$12</c:f>
              <c:strCache>
                <c:ptCount val="0"/>
              </c:strCache>
            </c:strRef>
          </c:cat>
          <c:val>
            <c:numRef>
              <c:f>'Priority Gaps'!$E$4:$E$12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Pub %</c:v>
          </c:tx>
          <c:cat>
            <c:strRef>
              <c:f>'Priority Gaps'!$A$4:$A$12</c:f>
              <c:strCache>
                <c:ptCount val="0"/>
              </c:strCache>
            </c:strRef>
          </c:cat>
          <c:val>
            <c:numRef>
              <c:f>'Priority Gaps'!$F$4:$F$12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Families</c:v>
          </c:tx>
          <c:cat>
            <c:strRef>
              <c:f>'Priority Gaps'!$A$4:$A$12</c:f>
              <c:strCache>
                <c:ptCount val="0"/>
              </c:strCache>
            </c:strRef>
          </c:cat>
          <c:val>
            <c:numRef>
              <c:f>'Priority Gaps'!$G$4:$G$12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65d8c47810478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6e3246fdd4c407d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22" hidden="0" customWidth="1"/>
    <x:col min="5" max="5" width="14" hidden="0" customWidth="1"/>
    <x:col min="6" max="6" width="13" hidden="0" customWidth="1"/>
    <x:col min="7" max="7" width="50" hidden="0" customWidth="1"/>
    <x:col min="8" max="8" width="46" hidden="0" customWidth="1"/>
  </x:cols>
  <x:sheetData>
    <x:row r="1" ht="18" hidden="0" customHeight="1">
      <x:c r="A1" s="4" t="str">
        <x:v>Step 6I — Consolidated Research Gaps</x:v>
      </x:c>
      <x:c r="B1" s="4"/>
      <x:c r="C1" s="4"/>
      <x:c r="D1" s="4"/>
      <x:c r="E1" s="4"/>
      <x:c r="F1" s="4"/>
      <x:c r="G1" s="4"/>
      <x:c r="H1" s="4"/>
    </x:row>
    <x:row r="2"/>
    <x:row r="3" ht="15" hidden="0" customHeight="1">
      <x:c r="A3" s="12" t="str">
        <x:v>Item</x:v>
      </x:c>
      <x:c r="B3" s="12" t="str">
        <x:v>Specification</x:v>
      </x:c>
    </x:row>
    <x:row r="4" ht="66" hidden="0" customHeight="1">
      <x:c r="A4" s="18" t="str">
        <x:v>Corpus</x:v>
      </x:c>
      <x:c r="B4" s="18" t="str">
        <x:v>53 included publications (S01–S53), reconciled into 44 study families.</x:v>
      </x:c>
    </x:row>
    <x:row r="5" ht="145.1999969482422" hidden="0" customHeight="1">
      <x:c r="A5" s="18" t="str">
        <x:v>Author-gap source</x:v>
      </x:c>
      <x:c r="B5" s="18" t="str">
        <x:v>Reported_Research_Gaps field in the final reconciled extraction. 49/53 publications contain a substantive gap/future-work entry; S23, S24, S31 and S32 are NR.</x:v>
      </x:c>
    </x:row>
    <x:row r="6" ht="118.80000305175781" hidden="0" customHeight="1">
      <x:c r="A6" s="18" t="str">
        <x:v>Author-gap coding</x:v>
      </x:c>
      <x:c r="B6" s="18" t="str">
        <x:v>Manual, multi-label reviewer coding into eight recurring themes. Counts mean theme membership, not identical wording by every author.</x:v>
      </x:c>
    </x:row>
    <x:row r="7" ht="118.80000305175781" hidden="0" customHeight="1">
      <x:c r="A7" s="18" t="str">
        <x:v>Evidence layers</x:v>
      </x:c>
      <x:c r="B7" s="18" t="str">
        <x:v>1) author-reported gaps; 2) corpus/taxonomy evidence gaps from Step 6H; 3) synthesis-derived methodological gaps from RQ0–RQ4/Step 6G.</x:v>
      </x:c>
    </x:row>
    <x:row r="8" ht="105.5999984741211" hidden="0" customHeight="1">
      <x:c r="A8" s="18" t="str">
        <x:v>Family rule</x:v>
      </x:c>
      <x:c r="B8" s="18" t="str">
        <x:v>A family is positive for an author-gap theme if any included publication in the family explicitly supports that theme.</x:v>
      </x:c>
    </x:row>
    <x:row r="9" ht="132" hidden="0" customHeight="1">
      <x:c r="A9" s="18" t="str">
        <x:v>Priority rule</x:v>
      </x:c>
      <x:c r="B9" s="18" t="str">
        <x:v>Priority A requires strong triangulation across evidence layers; Priority B is important but more context-dependent or structurally narrower.</x:v>
      </x:c>
    </x:row>
    <x:row r="10" ht="92.4000015258789" hidden="0" customHeight="1">
      <x:c r="A10" s="18" t="str">
        <x:v>Coverage safeguard</x:v>
      </x:c>
      <x:c r="B10" s="18" t="str">
        <x:v>Sparse/absent taxonomy cells are signals only. A sparse mechanism is not automatically a research gap.</x:v>
      </x:c>
    </x:row>
    <x:row r="11" ht="145.1999969482422" hidden="0" customHeight="1">
      <x:c r="A11" s="18" t="str">
        <x:v>Evidence safeguard</x:v>
      </x:c>
      <x:c r="B11" s="18" t="str">
        <x:v>Simulation performance, scenario comparisons and model calibration must not be described as demonstrated causal or operational effectiveness.</x:v>
      </x:c>
    </x:row>
    <x:row r="12"/>
    <x:row r="13" ht="15" hidden="0" customHeight="1">
      <x:c r="A13" s="22" t="str">
        <x:v>Final hierarchy</x:v>
      </x:c>
      <x:c r="B13" s="22"/>
      <x:c r="C13" s="22"/>
      <x:c r="D13" s="22"/>
      <x:c r="E13" s="22"/>
      <x:c r="F13" s="22"/>
      <x:c r="G13" s="22"/>
      <x:c r="H13" s="22"/>
    </x:row>
    <x:row r="14" ht="26.399999618530273" hidden="0" customHeight="1">
      <x:c r="A14" s="12" t="str">
        <x:v>Gap ID</x:v>
      </x:c>
      <x:c r="B14" s="12" t="str">
        <x:v>Priority</x:v>
      </x:c>
      <x:c r="C14" s="12" t="str">
        <x:v>Gap</x:v>
      </x:c>
      <x:c r="D14" s="12" t="str">
        <x:v>Evidence basis</x:v>
      </x:c>
      <x:c r="E14" s="12" t="str">
        <x:v>Publication support</x:v>
      </x:c>
      <x:c r="F14" s="12" t="str">
        <x:v>Family support</x:v>
      </x:c>
      <x:c r="G14" s="12" t="str">
        <x:v>Recommended interpretation</x:v>
      </x:c>
      <x:c r="H14" s="12" t="str">
        <x:v>Key caution</x:v>
      </x:c>
    </x:row>
    <x:row r="15" ht="39.599998474121094" hidden="0" customHeight="1">
      <x:c r="A15" s="18" t="str">
        <x:v>RG1</x:v>
      </x:c>
      <x:c r="B15" s="18" t="str">
        <x:v>A — High</x:v>
      </x:c>
      <x:c r="C15" s="18" t="str">
        <x:v>Field, operational and longitudinal validation</x:v>
      </x:c>
      <x:c r="D15" s="18" t="str">
        <x:v>Author + corpus + synthesis</x:v>
      </x:c>
      <x:c r="E15" s="18" t="n">
        <x:v>28</x:v>
      </x:c>
      <x:c r="F15" s="18" t="n">
        <x:v>23</x:v>
      </x:c>
      <x:c r="G15" s="18" t="str">
        <x:v>Move from predominantly simulated evidence toward prospective, multi-season and multi-site farm or territorial evaluation, with clearly documented operational conditions.</x:v>
      </x:c>
      <x:c r="H15" s="18" t="str">
        <x:v>Do not equate field-related data, calibration, a prototype, or a field-pilot label with independently demonstrated operational effectiveness.</x:v>
      </x:c>
    </x:row>
    <x:row r="16" ht="39.599998474121094" hidden="0" customHeight="1">
      <x:c r="A16" s="18" t="str">
        <x:v>RG2</x:v>
      </x:c>
      <x:c r="B16" s="18" t="str">
        <x:v>A — High</x:v>
      </x:c>
      <x:c r="C16" s="18" t="str">
        <x:v>Robustness, uncertainty and transferability</x:v>
      </x:c>
      <x:c r="D16" s="18" t="str">
        <x:v>Author + corpus + synthesis</x:v>
      </x:c>
      <x:c r="E16" s="18" t="n">
        <x:v>29</x:v>
      </x:c>
      <x:c r="F16" s="18" t="n">
        <x:v>28</x:v>
      </x:c>
      <x:c r="G16" s="18" t="str">
        <x:v>Evaluate sensitivity and transfer across weather, soils, crops, prices, sensor noise, behavioural heterogeneity, model structure and non-stationary resource demand.</x:v>
      </x:c>
      <x:c r="H16" s="18" t="str">
        <x:v>A result under one historical/scenario configuration should not be generalised across farms, regions or seasons without robustness evidence.</x:v>
      </x:c>
    </x:row>
    <x:row r="17" ht="39.599998474121094" hidden="0" customHeight="1">
      <x:c r="A17" s="18" t="str">
        <x:v>RG3</x:v>
      </x:c>
      <x:c r="B17" s="18" t="str">
        <x:v>A — High</x:v>
      </x:c>
      <x:c r="C17" s="18" t="str">
        <x:v>Behavioural, stakeholder and social validity</x:v>
      </x:c>
      <x:c r="D17" s="18" t="str">
        <x:v>Author + corpus + synthesis</x:v>
      </x:c>
      <x:c r="E17" s="18" t="n">
        <x:v>25</x:v>
      </x:c>
      <x:c r="F17" s="18" t="n">
        <x:v>24</x:v>
      </x:c>
      <x:c r="G17" s="18" t="str">
        <x:v>Empirically ground farmer, worker and institutional decision rules, preferences, learning, cooperation and legitimacy through stakeholder data and participatory validation.</x:v>
      </x:c>
      <x:c r="H17" s="18" t="str">
        <x:v>More behavioural detail is not automatically better; added mechanisms should be evidence-grounded and relevant to the decision problem.</x:v>
      </x:c>
    </x:row>
    <x:row r="18" ht="52.79999923706055" hidden="0" customHeight="1">
      <x:c r="A18" s="18" t="str">
        <x:v>RG4</x:v>
      </x:c>
      <x:c r="B18" s="18" t="str">
        <x:v>A — High</x:v>
      </x:c>
      <x:c r="C18" s="18" t="str">
        <x:v>Biophysical/environmental realism and long-horizon sustainability</x:v>
      </x:c>
      <x:c r="D18" s="18" t="str">
        <x:v>Author + corpus + synthesis</x:v>
      </x:c>
      <x:c r="E18" s="18" t="n">
        <x:v>23</x:v>
      </x:c>
      <x:c r="F18" s="18" t="n">
        <x:v>22</x:v>
      </x:c>
      <x:c r="G18" s="18" t="str">
        <x:v>Couple MAS decisions to credible crop, soil, hydrological, livestock, nutrient, emission and long-horizon environmental dynamics, and evaluate trade-offs rather than assuming objective gains imply sustainability.</x:v>
      </x:c>
      <x:c r="H18" s="18" t="str">
        <x:v>Environmental outcomes described in a model are not equivalent to measured environmental improvement.</x:v>
      </x:c>
    </x:row>
    <x:row r="19" ht="39.599998474121094" hidden="0" customHeight="1">
      <x:c r="A19" s="18" t="str">
        <x:v>RG5</x:v>
      </x:c>
      <x:c r="B19" s="18" t="str">
        <x:v>A — High</x:v>
      </x:c>
      <x:c r="C19" s="18" t="str">
        <x:v>Reproducibility and transparent research artefacts</x:v>
      </x:c>
      <x:c r="D19" s="18" t="str">
        <x:v>Corpus + synthesis</x:v>
      </x:c>
      <x:c r="E19" s="18" t="str"/>
      <x:c r="F19" s="18" t="str"/>
      <x:c r="G19" s="18" t="str">
        <x:v>Release or document code, data, parameters, seeds, model assumptions, scenarios and evaluation procedures sufficiently for independent inspection and replication where licensing permits.</x:v>
      </x:c>
      <x:c r="H19" s="18" t="str">
        <x:v>This is primarily a corpus/synthesis-derived gap; it should not be presented as an author-reported theme frequency.</x:v>
      </x:c>
    </x:row>
    <x:row r="20" ht="52.79999923706055" hidden="0" customHeight="1">
      <x:c r="A20" s="18" t="str">
        <x:v>RG6</x:v>
      </x:c>
      <x:c r="B20" s="18" t="str">
        <x:v>A — High</x:v>
      </x:c>
      <x:c r="C20" s="18" t="str">
        <x:v>Comparative evaluation and baseline quality</x:v>
      </x:c>
      <x:c r="D20" s="18" t="str">
        <x:v>Author + corpus + synthesis</x:v>
      </x:c>
      <x:c r="E20" s="18" t="n">
        <x:v>9</x:v>
      </x:c>
      <x:c r="F20" s="18" t="n">
        <x:v>7</x:v>
      </x:c>
      <x:c r="G20" s="18" t="str">
        <x:v>Use transparent comparators appropriate to the claim: operational practice, non-MAS controls, accepted algorithms, ablations or policy baselines, and clearly distinguish scenario counterfactuals from empirical validation.</x:v>
      </x:c>
      <x:c r="H20" s="18" t="str">
        <x:v>A populated comparator field or an alternative scenario does not automatically constitute a rigorous experimental control.</x:v>
      </x:c>
    </x:row>
    <x:row r="21" ht="39.599998474121094" hidden="0" customHeight="1">
      <x:c r="A21" s="18" t="str">
        <x:v>RG7</x:v>
      </x:c>
      <x:c r="B21" s="18" t="str">
        <x:v>B — Important</x:v>
      </x:c>
      <x:c r="C21" s="18" t="str">
        <x:v>Scalability, sensing, computation and real-time operation</x:v>
      </x:c>
      <x:c r="D21" s="18" t="str">
        <x:v>Author + corpus + synthesis</x:v>
      </x:c>
      <x:c r="E21" s="18" t="n">
        <x:v>14</x:v>
      </x:c>
      <x:c r="F21" s="18" t="n">
        <x:v>13</x:v>
      </x:c>
      <x:c r="G21" s="18" t="str">
        <x:v>Quantify computation, communication, sensing/state-estimation, latency, edge/cloud constraints and failure robustness as systems scale to larger and more heterogeneous agricultural settings.</x:v>
      </x:c>
      <x:c r="H21" s="18" t="str">
        <x:v>Algorithmic scalability in simulation is not the same as deployability under real sensing, networking and actuation constraints.</x:v>
      </x:c>
    </x:row>
    <x:row r="22" ht="39.599998474121094" hidden="0" customHeight="1">
      <x:c r="A22" s="18" t="str">
        <x:v>RG8</x:v>
      </x:c>
      <x:c r="B22" s="18" t="str">
        <x:v>B — Important</x:v>
      </x:c>
      <x:c r="C22" s="18" t="str">
        <x:v>Cross-domain and multi-resource integration</x:v>
      </x:c>
      <x:c r="D22" s="18" t="str">
        <x:v>Author + corpus + synthesis</x:v>
      </x:c>
      <x:c r="E22" s="18" t="n">
        <x:v>12</x:v>
      </x:c>
      <x:c r="F22" s="18" t="n">
        <x:v>12</x:v>
      </x:c>
      <x:c r="G22" s="18" t="str">
        <x:v>Extend coordination across interacting water, energy, nutrients, labour, machinery, livestock and land-use decisions where the agricultural problem genuinely requires integrated management.</x:v>
      </x:c>
      <x:c r="H22" s="18" t="str">
        <x:v>The corpus already contains many integrated-system papers; the gap is uneven and incomplete coupling, not a universal absence of integration.</x:v>
      </x:c>
    </x:row>
    <x:row r="23" ht="52.79999923706055" hidden="0" customHeight="1">
      <x:c r="A23" s="18" t="str">
        <x:v>RG9</x:v>
      </x:c>
      <x:c r="B23" s="18" t="str">
        <x:v>B — Important</x:v>
      </x:c>
      <x:c r="C23" s="18" t="str">
        <x:v>Adaptive, distributed and institutionally realistic coordination</x:v>
      </x:c>
      <x:c r="D23" s="18" t="str">
        <x:v>Author + corpus + synthesis</x:v>
      </x:c>
      <x:c r="E23" s="18" t="n">
        <x:v>19</x:v>
      </x:c>
      <x:c r="F23" s="18" t="n">
        <x:v>16</x:v>
      </x:c>
      <x:c r="G23" s="18" t="str">
        <x:v>Evaluate learning, distributed optimisation, markets, negotiation and collective-governance mechanisms against simpler alternatives where uncertainty, decentralised ownership or shared resources justify them.</x:v>
      </x:c>
      <x:c r="H23" s="18" t="str">
        <x:v>Sparse use of a mechanism does not prove that more of that mechanism is needed; method choice must remain problem-driven.</x:v>
      </x:c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1" hidden="0" customWidth="1"/>
    <x:col min="8" max="8" width="10" hidden="0" customWidth="1"/>
    <x:col min="9" max="9" width="49" hidden="0" customWidth="1"/>
    <x:col min="10" max="10" width="55" hidden="0" customWidth="1"/>
    <x:col min="11" max="11" width="50" hidden="0" customWidth="1"/>
  </x:cols>
  <x:sheetData>
    <x:row r="1" ht="18" hidden="0" customHeight="1">
      <x:c r="A1" s="4" t="str">
        <x:v>Consolidated research-gap priorities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26.399999618530273" hidden="0" customHeight="1">
      <x:c r="A3" s="12" t="str">
        <x:v>Gap ID</x:v>
      </x:c>
      <x:c r="B3" s="12" t="str">
        <x:v>Consolidated research gap</x:v>
      </x:c>
      <x:c r="C3" s="12" t="str">
        <x:v>Priority</x:v>
      </x:c>
      <x:c r="D3" s="12" t="str">
        <x:v>Author theme</x:v>
      </x:c>
      <x:c r="E3" s="12" t="str">
        <x:v>Author-coded pubs</x:v>
      </x:c>
      <x:c r="F3" s="12" t="str">
        <x:v>Pub %</x:v>
      </x:c>
      <x:c r="G3" s="12" t="str">
        <x:v>Families</x:v>
      </x:c>
      <x:c r="H3" s="12" t="str">
        <x:v>Family %</x:v>
      </x:c>
      <x:c r="I3" s="12" t="str">
        <x:v>Corpus / taxonomy evidence</x:v>
      </x:c>
      <x:c r="J3" s="12" t="str">
        <x:v>Recommended final-report wording</x:v>
      </x:c>
      <x:c r="K3" s="12" t="str">
        <x:v>Boundary / overclaim safeguard</x:v>
      </x:c>
    </x:row>
    <x:row r="4" ht="39.599998474121094" hidden="0" customHeight="1">
      <x:c r="A4" s="18" t="str">
        <x:v>RG1</x:v>
      </x:c>
      <x:c r="B4" s="18" t="str">
        <x:v>Field, operational and longitudinal validation</x:v>
      </x:c>
      <x:c r="C4" s="18" t="str">
        <x:v>A — High</x:v>
      </x:c>
      <x:c r="D4" s="18" t="str">
        <x:v>G1</x:v>
      </x:c>
      <x:c r="E4" s="18" t="n">
        <x:f>COUNTIF('Author Gap Coding'!$F$2:$F$54,1)</x:f>
        <x:v>28</x:v>
      </x:c>
      <x:c r="F4" s="28" t="n">
        <x:f>E4/53</x:f>
        <x:v>0.5283018867924528</x:v>
      </x:c>
      <x:c r="G4" s="18" t="n">
        <x:f>COUNTIF('44 Family Map'!$J$2:$J$45,1)</x:f>
        <x:v>23</x:v>
      </x:c>
      <x:c r="H4" s="28" t="n">
        <x:f>G4/44</x:f>
        <x:v>0.5227272727272727</x:v>
      </x:c>
      <x:c r="I4" s="18" t="str">
        <x:v>46/53 publications are simulation maturity; 51/53 are source-coded as no real-world deployment. Real-world-validation limitations are pervasive in the extraction.</x:v>
      </x:c>
      <x:c r="J4" s="18" t="str">
        <x:v>Move from predominantly simulated evidence toward prospective, multi-season and multi-site farm or territorial evaluation, with clearly documented operational conditions.</x:v>
      </x:c>
      <x:c r="K4" s="18" t="str">
        <x:v>Do not equate field-related data, calibration, a prototype, or a field-pilot label with independently demonstrated operational effectiveness.</x:v>
      </x:c>
    </x:row>
    <x:row r="5" ht="39.599998474121094" hidden="0" customHeight="1">
      <x:c r="A5" s="18" t="str">
        <x:v>RG2</x:v>
      </x:c>
      <x:c r="B5" s="18" t="str">
        <x:v>Robustness, uncertainty and transferability</x:v>
      </x:c>
      <x:c r="C5" s="18" t="str">
        <x:v>A — High</x:v>
      </x:c>
      <x:c r="D5" s="18" t="str">
        <x:v>G3</x:v>
      </x:c>
      <x:c r="E5" s="18" t="n">
        <x:f>COUNTIF('Author Gap Coding'!$H$2:$H$54,1)</x:f>
        <x:v>29</x:v>
      </x:c>
      <x:c r="F5" s="28" t="n">
        <x:f>E5/53</x:f>
        <x:v>0.5471698113207547</x:v>
      </x:c>
      <x:c r="G5" s="18" t="n">
        <x:f>COUNTIF('44 Family Map'!$L$2:$L$45,1)</x:f>
        <x:v>28</x:v>
      </x:c>
      <x:c r="H5" s="28" t="n">
        <x:f>G5/44</x:f>
        <x:v>0.6363636363636364</x:v>
      </x:c>
      <x:c r="I5" s="18" t="str">
        <x:v>Uncertainty/transfer limitations recur across the extraction; 21/53 RQ3 outcomes are mixed/trade-off/scenario-dependent, reinforcing context sensitivity.</x:v>
      </x:c>
      <x:c r="J5" s="18" t="str">
        <x:v>Evaluate sensitivity and transfer across weather, soils, crops, prices, sensor noise, behavioural heterogeneity, model structure and non-stationary resource demand.</x:v>
      </x:c>
      <x:c r="K5" s="18" t="str">
        <x:v>A result under one historical/scenario configuration should not be generalised across farms, regions or seasons without robustness evidence.</x:v>
      </x:c>
    </x:row>
    <x:row r="6" ht="39.599998474121094" hidden="0" customHeight="1">
      <x:c r="A6" s="18" t="str">
        <x:v>RG3</x:v>
      </x:c>
      <x:c r="B6" s="18" t="str">
        <x:v>Behavioural, stakeholder and social validity</x:v>
      </x:c>
      <x:c r="C6" s="18" t="str">
        <x:v>A — High</x:v>
      </x:c>
      <x:c r="D6" s="18" t="str">
        <x:v>G2</x:v>
      </x:c>
      <x:c r="E6" s="18" t="n">
        <x:f>COUNTIF('Author Gap Coding'!$G$2:$G$54,1)</x:f>
        <x:v>25</x:v>
      </x:c>
      <x:c r="F6" s="28" t="n">
        <x:f>E6/53</x:f>
        <x:v>0.4716981132075472</x:v>
      </x:c>
      <x:c r="G6" s="18" t="n">
        <x:f>COUNTIF('44 Family Map'!$K$2:$K$45,1)</x:f>
        <x:v>24</x:v>
      </x:c>
      <x:c r="H6" s="28" t="n">
        <x:f>G6/44</x:f>
        <x:v>0.5454545454545454</x:v>
      </x:c>
      <x:c r="I6" s="18" t="str">
        <x:v>Farmer/household/producer roles occur in 33/53 publications, while 25 publications (24 families) explicitly call for richer behavioural, stakeholder or social grounding.</x:v>
      </x:c>
      <x:c r="J6" s="18" t="str">
        <x:v>Empirically ground farmer, worker and institutional decision rules, preferences, learning, cooperation and legitimacy through stakeholder data and participatory validation.</x:v>
      </x:c>
      <x:c r="K6" s="18" t="str">
        <x:v>More behavioural detail is not automatically better; added mechanisms should be evidence-grounded and relevant to the decision problem.</x:v>
      </x:c>
    </x:row>
    <x:row r="7" ht="52.79999923706055" hidden="0" customHeight="1">
      <x:c r="A7" s="18" t="str">
        <x:v>RG4</x:v>
      </x:c>
      <x:c r="B7" s="18" t="str">
        <x:v>Biophysical/environmental realism and long-horizon sustainability</x:v>
      </x:c>
      <x:c r="C7" s="18" t="str">
        <x:v>A — High</x:v>
      </x:c>
      <x:c r="D7" s="18" t="str">
        <x:v>G6</x:v>
      </x:c>
      <x:c r="E7" s="18" t="n">
        <x:f>COUNTIF('Author Gap Coding'!$K$2:$K$54,1)</x:f>
        <x:v>23</x:v>
      </x:c>
      <x:c r="F7" s="28" t="n">
        <x:f>E7/53</x:f>
        <x:v>0.4339622641509434</x:v>
      </x:c>
      <x:c r="G7" s="18" t="n">
        <x:f>COUNTIF('44 Family Map'!$O$2:$O$45,1)</x:f>
        <x:v>22</x:v>
      </x:c>
      <x:c r="H7" s="28" t="n">
        <x:f>G7/44</x:f>
        <x:v>0.5</x:v>
      </x:c>
      <x:c r="I7" s="18" t="str">
        <x:v>39/53 publications directly address sustainability, but environmental-model limitations are common and outcome directions remain frequently mixed or conditional.</x:v>
      </x:c>
      <x:c r="J7" s="18" t="str">
        <x:v>Couple MAS decisions to credible crop, soil, hydrological, livestock, nutrient, emission and long-horizon environmental dynamics, and evaluate trade-offs rather than assuming objective gains imply sustainability.</x:v>
      </x:c>
      <x:c r="K7" s="18" t="str">
        <x:v>Environmental outcomes described in a model are not equivalent to measured environmental improvement.</x:v>
      </x:c>
    </x:row>
    <x:row r="8" ht="39.599998474121094" hidden="0" customHeight="1">
      <x:c r="A8" s="18" t="str">
        <x:v>RG5</x:v>
      </x:c>
      <x:c r="B8" s="18" t="str">
        <x:v>Reproducibility and transparent research artefacts</x:v>
      </x:c>
      <x:c r="C8" s="18" t="str">
        <x:v>A — High</x:v>
      </x:c>
      <x:c r="D8" s="18" t="str"/>
      <x:c r="E8" s="18" t="str">
        <x:v>N/A</x:v>
      </x:c>
      <x:c r="F8" s="28" t="str">
        <x:v>N/A</x:v>
      </x:c>
      <x:c r="G8" s="18" t="str">
        <x:v>N/A</x:v>
      </x:c>
      <x:c r="H8" s="28" t="str">
        <x:v>N/A</x:v>
      </x:c>
      <x:c r="I8" s="18" t="str">
        <x:v>Reported code availability is 8/53 and reported data availability is 14/53; reproducibility/data-availability limitations are coded in 18/53 publications.</x:v>
      </x:c>
      <x:c r="J8" s="18" t="str">
        <x:v>Release or document code, data, parameters, seeds, model assumptions, scenarios and evaluation procedures sufficiently for independent inspection and replication where licensing permits.</x:v>
      </x:c>
      <x:c r="K8" s="18" t="str">
        <x:v>This is primarily a corpus/synthesis-derived gap; it should not be presented as an author-reported theme frequency.</x:v>
      </x:c>
    </x:row>
    <x:row r="9" ht="52.79999923706055" hidden="0" customHeight="1">
      <x:c r="A9" s="18" t="str">
        <x:v>RG6</x:v>
      </x:c>
      <x:c r="B9" s="18" t="str">
        <x:v>Comparative evaluation and baseline quality</x:v>
      </x:c>
      <x:c r="C9" s="18" t="str">
        <x:v>A — High</x:v>
      </x:c>
      <x:c r="D9" s="18" t="str">
        <x:v>G4</x:v>
      </x:c>
      <x:c r="E9" s="18" t="n">
        <x:f>COUNTIF('Author Gap Coding'!$I$2:$I$54,1)</x:f>
        <x:v>9</x:v>
      </x:c>
      <x:c r="F9" s="28" t="n">
        <x:f>E9/53</x:f>
        <x:v>0.16981132075471697</x:v>
      </x:c>
      <x:c r="G9" s="18" t="n">
        <x:f>COUNTIF('44 Family Map'!$M$2:$M$45,1)</x:f>
        <x:v>7</x:v>
      </x:c>
      <x:c r="H9" s="28" t="n">
        <x:f>G9/44</x:f>
        <x:v>0.1590909090909091</x:v>
      </x:c>
      <x:c r="I9" s="18" t="str">
        <x:v>Comparator descriptions are heterogeneous: algorithmic benchmarks, historical practice, scenario contrasts and calibration must not be treated as equivalent evidence.</x:v>
      </x:c>
      <x:c r="J9" s="18" t="str">
        <x:v>Use transparent comparators appropriate to the claim: operational practice, non-MAS controls, accepted algorithms, ablations or policy baselines, and clearly distinguish scenario counterfactuals from empirical validation.</x:v>
      </x:c>
      <x:c r="K9" s="18" t="str">
        <x:v>A populated comparator field or an alternative scenario does not automatically constitute a rigorous experimental control.</x:v>
      </x:c>
    </x:row>
    <x:row r="10" ht="39.599998474121094" hidden="0" customHeight="1">
      <x:c r="A10" s="18" t="str">
        <x:v>RG7</x:v>
      </x:c>
      <x:c r="B10" s="18" t="str">
        <x:v>Scalability, sensing, computation and real-time operation</x:v>
      </x:c>
      <x:c r="C10" s="18" t="str">
        <x:v>B — Important</x:v>
      </x:c>
      <x:c r="D10" s="18" t="str">
        <x:v>G5</x:v>
      </x:c>
      <x:c r="E10" s="18" t="n">
        <x:f>COUNTIF('Author Gap Coding'!$J$2:$J$54,1)</x:f>
        <x:v>14</x:v>
      </x:c>
      <x:c r="F10" s="28" t="n">
        <x:f>E10/53</x:f>
        <x:v>0.2641509433962264</x:v>
      </x:c>
      <x:c r="G10" s="18" t="n">
        <x:f>COUNTIF('44 Family Map'!$N$2:$N$45,1)</x:f>
        <x:v>13</x:v>
      </x:c>
      <x:c r="H10" s="28" t="n">
        <x:f>G10/44</x:f>
        <x:v>0.29545454545454547</x:v>
      </x:c>
      <x:c r="I10" s="18" t="str">
        <x:v>Computational-requirement and scalability limitations recur, while several recent studies explicitly call for real-time, sensing, edge, state-estimation or larger-scale evaluation.</x:v>
      </x:c>
      <x:c r="J10" s="18" t="str">
        <x:v>Quantify computation, communication, sensing/state-estimation, latency, edge/cloud constraints and failure robustness as systems scale to larger and more heterogeneous agricultural settings.</x:v>
      </x:c>
      <x:c r="K10" s="18" t="str">
        <x:v>Algorithmic scalability in simulation is not the same as deployability under real sensing, networking and actuation constraints.</x:v>
      </x:c>
    </x:row>
    <x:row r="11" ht="39.599998474121094" hidden="0" customHeight="1">
      <x:c r="A11" s="18" t="str">
        <x:v>RG8</x:v>
      </x:c>
      <x:c r="B11" s="18" t="str">
        <x:v>Cross-domain and multi-resource integration</x:v>
      </x:c>
      <x:c r="C11" s="18" t="str">
        <x:v>B — Important</x:v>
      </x:c>
      <x:c r="D11" s="18" t="str">
        <x:v>G7</x:v>
      </x:c>
      <x:c r="E11" s="18" t="n">
        <x:f>COUNTIF('Author Gap Coding'!$L$2:$L$54,1)</x:f>
        <x:v>12</x:v>
      </x:c>
      <x:c r="F11" s="28" t="n">
        <x:f>E11/53</x:f>
        <x:v>0.22641509433962265</x:v>
      </x:c>
      <x:c r="G11" s="18" t="n">
        <x:f>COUNTIF('44 Family Map'!$P$2:$P$45,1)</x:f>
        <x:v>12</x:v>
      </x:c>
      <x:c r="H11" s="28" t="n">
        <x:f>G11/44</x:f>
        <x:v>0.2727272727272727</x:v>
      </x:c>
      <x:c r="I11" s="18" t="str">
        <x:v>27/53 publications are already integrated-system studies, but Step 6H shows uneven cross-domain coverage; energy/WEF has only three families and soil/environment four.</x:v>
      </x:c>
      <x:c r="J11" s="18" t="str">
        <x:v>Extend coordination across interacting water, energy, nutrients, labour, machinery, livestock and land-use decisions where the agricultural problem genuinely requires integrated management.</x:v>
      </x:c>
      <x:c r="K11" s="18" t="str">
        <x:v>The corpus already contains many integrated-system papers; the gap is uneven and incomplete coupling, not a universal absence of integration.</x:v>
      </x:c>
    </x:row>
    <x:row r="12" ht="52.79999923706055" hidden="0" customHeight="1">
      <x:c r="A12" s="18" t="str">
        <x:v>RG9</x:v>
      </x:c>
      <x:c r="B12" s="18" t="str">
        <x:v>Adaptive, distributed and institutionally realistic coordination</x:v>
      </x:c>
      <x:c r="C12" s="18" t="str">
        <x:v>B — Important</x:v>
      </x:c>
      <x:c r="D12" s="18" t="str">
        <x:v>G8</x:v>
      </x:c>
      <x:c r="E12" s="18" t="n">
        <x:f>COUNTIF('Author Gap Coding'!$M$2:$M$54,1)</x:f>
        <x:v>19</x:v>
      </x:c>
      <x:c r="F12" s="28" t="n">
        <x:f>E12/53</x:f>
        <x:v>0.3584905660377358</x:v>
      </x:c>
      <x:c r="G12" s="18" t="n">
        <x:f>COUNTIF('44 Family Map'!$Q$2:$Q$45,1)</x:f>
        <x:v>16</x:v>
      </x:c>
      <x:c r="H12" s="28" t="n">
        <x:f>G12/44</x:f>
        <x:v>0.36363636363636365</x:v>
      </x:c>
      <x:c r="I12" s="18" t="str">
        <x:v>Learning-based adaptive coordination appears in 9/53 publications and direct negotiation in 8/53; both are concentrated in particular domains rather than broadly validated.</x:v>
      </x:c>
      <x:c r="J12" s="18" t="str">
        <x:v>Evaluate learning, distributed optimisation, markets, negotiation and collective-governance mechanisms against simpler alternatives where uncertainty, decentralised ownership or shared resources justify them.</x:v>
      </x:c>
      <x:c r="K12" s="18" t="str">
        <x:v>Sparse use of a mechanism does not prove that more of that mechanism is needed; method choice must remain problem-driven.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K1"/>
  </x:mergeCells>
  <x:pageMargins left="0.7" right="0.7" top="0.75" bottom="0.75" header="0.3" footer="0.3"/>
  <x:drawing xmlns:r="http://schemas.openxmlformats.org/officeDocument/2006/relationships" r:id="Rd6e3246fdd4c407d"/>
</x:worksheet>
</file>

<file path=xl/worksheets/sheet3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8" hidden="0" customWidth="1"/>
    <x:col min="4" max="4" width="28" hidden="0" customWidth="1"/>
    <x:col min="5" max="5" width="75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1" hidden="0" customWidth="1"/>
    <x:col min="16" max="16" width="10" hidden="0" customWidth="1"/>
    <x:col min="17" max="17" width="52" hidden="0" customWidth="1"/>
  </x:cols>
  <x:sheetData>
    <x:row r="1" ht="26.399999618530273" hidden="0" customHeight="1">
      <x:c r="A1" s="12" t="str">
        <x:v>Study_ID</x:v>
      </x:c>
      <x:c r="B1" s="12" t="str">
        <x:v>Study_Family_ID</x:v>
      </x:c>
      <x:c r="C1" s="12" t="str">
        <x:v>Year</x:v>
      </x:c>
      <x:c r="D1" s="12" t="str">
        <x:v>Primary_Domain</x:v>
      </x:c>
      <x:c r="E1" s="12" t="str">
        <x:v>Reported_Research_Gaps</x:v>
      </x:c>
      <x:c r="F1" s="12" t="str">
        <x:v>G1</x:v>
      </x:c>
      <x:c r="G1" s="12" t="str">
        <x:v>G2</x:v>
      </x:c>
      <x:c r="H1" s="12" t="str">
        <x:v>G3</x:v>
      </x:c>
      <x:c r="I1" s="12" t="str">
        <x:v>G4</x:v>
      </x:c>
      <x:c r="J1" s="12" t="str">
        <x:v>G5</x:v>
      </x:c>
      <x:c r="K1" s="12" t="str">
        <x:v>G6</x:v>
      </x:c>
      <x:c r="L1" s="12" t="str">
        <x:v>G7</x:v>
      </x:c>
      <x:c r="M1" s="12" t="str">
        <x:v>G8</x:v>
      </x:c>
      <x:c r="N1" s="12" t="str">
        <x:v>Theme_Count</x:v>
      </x:c>
      <x:c r="P1" s="12" t="str">
        <x:v>Theme</x:v>
      </x:c>
      <x:c r="Q1" s="12" t="str">
        <x:v>Definition</x:v>
      </x:c>
    </x:row>
    <x:row r="2" ht="26.399999618530273" hidden="0" customHeight="1">
      <x:c r="A2" s="18" t="str">
        <x:v>S01</x:v>
      </x:c>
      <x:c r="B2" s="18" t="str">
        <x:v>SF01</x:v>
      </x:c>
      <x:c r="C2" s="18" t="n">
        <x:v>2018</x:v>
      </x:c>
      <x:c r="D2" s="18" t="str">
        <x:v>Livestock / integrated farming</x:v>
      </x:c>
      <x:c r="E2" s="18" t="str">
        <x:v>Investigate household shocks and preferences; include labour and non-pastoral livelihood decisions; relax debt/living-cost and mobility assumptions; broaden behavioural realism.</x:v>
      </x:c>
      <x:c r="F2" s="18" t="n">
        <x:v>0</x:v>
      </x:c>
      <x:c r="G2" s="18" t="n">
        <x:v>1</x:v>
      </x:c>
      <x:c r="H2" s="18" t="n">
        <x:v>0</x:v>
      </x:c>
      <x:c r="I2" s="18" t="n">
        <x:v>0</x:v>
      </x:c>
      <x:c r="J2" s="18" t="n">
        <x:v>0</x:v>
      </x:c>
      <x:c r="K2" s="18" t="n">
        <x:v>0</x:v>
      </x:c>
      <x:c r="L2" s="18" t="n">
        <x:v>0</x:v>
      </x:c>
      <x:c r="M2" s="18" t="n">
        <x:v>0</x:v>
      </x:c>
      <x:c r="N2" s="18" t="n">
        <x:v>1</x:v>
      </x:c>
      <x:c r="P2" s="18" t="str">
        <x:v>G1</x:v>
      </x:c>
      <x:c r="Q2" s="18" t="str">
        <x:v>Field, operational and longitudinal validation</x:v>
      </x:c>
    </x:row>
    <x:row r="3" ht="26.399999618530273" hidden="0" customHeight="1">
      <x:c r="A3" s="18" t="str">
        <x:v>S02</x:v>
      </x:c>
      <x:c r="B3" s="18" t="str">
        <x:v>SF02</x:v>
      </x:c>
      <x:c r="C3" s="18" t="n">
        <x:v>2019</x:v>
      </x:c>
      <x:c r="D3" s="18" t="str">
        <x:v>Crop / farm management</x:v>
      </x:c>
      <x:c r="E3" s="18" t="str">
        <x:v>Extend the ecosystem toward a Smart Marketplace with direct agricultural product/service trading and blockchain/smart-contract support.</x:v>
      </x:c>
      <x:c r="F3" s="18" t="n">
        <x:v>1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n">
        <x:v>0</x:v>
      </x:c>
      <x:c r="M3" s="18" t="n">
        <x:v>1</x:v>
      </x:c>
      <x:c r="N3" s="18" t="n">
        <x:v>2</x:v>
      </x:c>
      <x:c r="P3" s="18" t="str">
        <x:v>G2</x:v>
      </x:c>
      <x:c r="Q3" s="18" t="str">
        <x:v>Behavioural, stakeholder and social validity</x:v>
      </x:c>
    </x:row>
    <x:row r="4" ht="39.599998474121094" hidden="0" customHeight="1">
      <x:c r="A4" s="18" t="str">
        <x:v>S03</x:v>
      </x:c>
      <x:c r="B4" s="18" t="str">
        <x:v>SF03</x:v>
      </x:c>
      <x:c r="C4" s="18" t="n">
        <x:v>2023</x:v>
      </x:c>
      <x:c r="D4" s="18" t="str">
        <x:v>Crop / farm management</x:v>
      </x:c>
      <x:c r="E4" s="18" t="str">
        <x:v>Adapt VAL-MAS to other crop-country cases; incorporate risk and external effects; improve evidence on seed-production stability and technical pest-control constraints; extend sustainability-related effects.</x:v>
      </x:c>
      <x:c r="F4" s="18" t="n">
        <x:v>0</x:v>
      </x:c>
      <x:c r="G4" s="18" t="n">
        <x:v>0</x:v>
      </x:c>
      <x:c r="H4" s="18" t="n">
        <x:v>1</x:v>
      </x:c>
      <x:c r="I4" s="18" t="n">
        <x:v>0</x:v>
      </x:c>
      <x:c r="J4" s="18" t="n">
        <x:v>0</x:v>
      </x:c>
      <x:c r="K4" s="18" t="n">
        <x:v>1</x:v>
      </x:c>
      <x:c r="L4" s="18" t="n">
        <x:v>0</x:v>
      </x:c>
      <x:c r="M4" s="18" t="n">
        <x:v>0</x:v>
      </x:c>
      <x:c r="N4" s="18" t="n">
        <x:v>2</x:v>
      </x:c>
      <x:c r="P4" s="18" t="str">
        <x:v>G3</x:v>
      </x:c>
      <x:c r="Q4" s="18" t="str">
        <x:v>Robustness, uncertainty and transferability</x:v>
      </x:c>
    </x:row>
    <x:row r="5" ht="66" hidden="0" customHeight="1">
      <x:c r="A5" s="18" t="str">
        <x:v>S04</x:v>
      </x:c>
      <x:c r="B5" s="18" t="str">
        <x:v>SF04</x:v>
      </x:c>
      <x:c r="C5" s="18" t="n">
        <x:v>2026</x:v>
      </x:c>
      <x:c r="D5" s="18" t="str">
        <x:v>Livestock / integrated farming</x:v>
      </x:c>
      <x:c r="E5" s="18" t="str">
        <x:v>Clinical/expert-in-the-loop welfare validation; multimodal integration of behaviour, vocalisation and health records; larger multi-site and longitudinal studies; scalability and real-time optimisation; privacy-preserving/federated approaches; improved uncertainty calibration and human verification; alternative edge/cloud deployment; sensor calibration and robust data-quality handling; integration with formal welfare-assessment frameworks.</x:v>
      </x:c>
      <x:c r="F5" s="18" t="n">
        <x:v>1</x:v>
      </x:c>
      <x:c r="G5" s="18" t="n">
        <x:v>1</x:v>
      </x:c>
      <x:c r="H5" s="18" t="n">
        <x:v>1</x:v>
      </x:c>
      <x:c r="I5" s="18" t="n">
        <x:v>0</x:v>
      </x:c>
      <x:c r="J5" s="18" t="n">
        <x:v>1</x:v>
      </x:c>
      <x:c r="K5" s="18" t="n">
        <x:v>1</x:v>
      </x:c>
      <x:c r="L5" s="18" t="n">
        <x:v>0</x:v>
      </x:c>
      <x:c r="M5" s="18" t="n">
        <x:v>0</x:v>
      </x:c>
      <x:c r="N5" s="18" t="n">
        <x:v>5</x:v>
      </x:c>
      <x:c r="P5" s="18" t="str">
        <x:v>G4</x:v>
      </x:c>
      <x:c r="Q5" s="18" t="str">
        <x:v>Comparative evaluation and alternative mechanisms</x:v>
      </x:c>
    </x:row>
    <x:row r="6" ht="26.399999618530273" hidden="0" customHeight="1">
      <x:c r="A6" s="18" t="str">
        <x:v>S05</x:v>
      </x:c>
      <x:c r="B6" s="18" t="str">
        <x:v>SF05</x:v>
      </x:c>
      <x:c r="C6" s="18" t="n">
        <x:v>2024</x:v>
      </x:c>
      <x:c r="D6" s="18" t="str">
        <x:v>Energy / WEF nexus</x:v>
      </x:c>
      <x:c r="E6" s="18" t="str">
        <x:v>Develop robust handling of incomplete information and line losses; investigate MARL/adaptive trading; model battery degradation; improve data security and real-world dynamic validation.</x:v>
      </x:c>
      <x:c r="F6" s="18" t="n">
        <x:v>1</x:v>
      </x:c>
      <x:c r="G6" s="18" t="n">
        <x:v>0</x:v>
      </x:c>
      <x:c r="H6" s="18" t="n">
        <x:v>1</x:v>
      </x:c>
      <x:c r="I6" s="18" t="n">
        <x:v>0</x:v>
      </x:c>
      <x:c r="J6" s="18" t="n">
        <x:v>0</x:v>
      </x:c>
      <x:c r="K6" s="18" t="n">
        <x:v>1</x:v>
      </x:c>
      <x:c r="L6" s="18" t="n">
        <x:v>0</x:v>
      </x:c>
      <x:c r="M6" s="18" t="n">
        <x:v>1</x:v>
      </x:c>
      <x:c r="N6" s="18" t="n">
        <x:v>4</x:v>
      </x:c>
      <x:c r="P6" s="18" t="str">
        <x:v>G5</x:v>
      </x:c>
      <x:c r="Q6" s="18" t="str">
        <x:v>Scalability, sensing, computation and real-time operation</x:v>
      </x:c>
    </x:row>
    <x:row r="7" ht="26.399999618530273" hidden="0" customHeight="1">
      <x:c r="A7" s="18" t="str">
        <x:v>S06</x:v>
      </x:c>
      <x:c r="B7" s="18" t="str">
        <x:v>SF06</x:v>
      </x:c>
      <x:c r="C7" s="18" t="n">
        <x:v>2022</x:v>
      </x:c>
      <x:c r="D7" s="18" t="str">
        <x:v>Irrigation / water management</x:v>
      </x:c>
      <x:c r="E7" s="18" t="str">
        <x:v>Add crop-management, energy, salinity/fertilisation and additional soil/plant/environment variables; calibrate crop models for site-specific conditions; expand comparative field validation.</x:v>
      </x:c>
      <x:c r="F7" s="18" t="n">
        <x:v>1</x:v>
      </x:c>
      <x:c r="G7" s="18" t="n">
        <x:v>0</x:v>
      </x:c>
      <x:c r="H7" s="18" t="n">
        <x:v>1</x:v>
      </x:c>
      <x:c r="I7" s="18" t="n">
        <x:v>0</x:v>
      </x:c>
      <x:c r="J7" s="18" t="n">
        <x:v>0</x:v>
      </x:c>
      <x:c r="K7" s="18" t="n">
        <x:v>1</x:v>
      </x:c>
      <x:c r="L7" s="18" t="n">
        <x:v>1</x:v>
      </x:c>
      <x:c r="M7" s="18" t="n">
        <x:v>0</x:v>
      </x:c>
      <x:c r="N7" s="18" t="n">
        <x:v>4</x:v>
      </x:c>
      <x:c r="P7" s="18" t="str">
        <x:v>G6</x:v>
      </x:c>
      <x:c r="Q7" s="18" t="str">
        <x:v>Biophysical/environmental realism and long-horizon sustainability</x:v>
      </x:c>
    </x:row>
    <x:row r="8" ht="52.79999923706055" hidden="0" customHeight="1">
      <x:c r="A8" s="18" t="str">
        <x:v>S07</x:v>
      </x:c>
      <x:c r="B8" s="18" t="str">
        <x:v>SF07</x:v>
      </x:c>
      <x:c r="C8" s="18" t="n">
        <x:v>2024</x:v>
      </x:c>
      <x:c r="D8" s="18" t="str">
        <x:v>Irrigation / water management</x:v>
      </x:c>
      <x:c r="E8" s="18" t="str">
        <x:v>Improve binary-decision optimality through communicating/hierarchical agents; accelerate RL training and optimisation; investigate transformer predictors; incorporate online parameter estimation or offset-free MPC; integrate a lower-level controller for real-time tracking and robustness.</x:v>
      </x:c>
      <x:c r="F8" s="18" t="n">
        <x:v>0</x:v>
      </x:c>
      <x:c r="G8" s="18" t="n">
        <x:v>0</x:v>
      </x:c>
      <x:c r="H8" s="18" t="n">
        <x:v>1</x:v>
      </x:c>
      <x:c r="I8" s="18" t="n">
        <x:v>0</x:v>
      </x:c>
      <x:c r="J8" s="18" t="n">
        <x:v>1</x:v>
      </x:c>
      <x:c r="K8" s="18" t="n">
        <x:v>0</x:v>
      </x:c>
      <x:c r="L8" s="18" t="n">
        <x:v>0</x:v>
      </x:c>
      <x:c r="M8" s="18" t="n">
        <x:v>1</x:v>
      </x:c>
      <x:c r="N8" s="18" t="n">
        <x:v>3</x:v>
      </x:c>
      <x:c r="P8" s="18" t="str">
        <x:v>G7</x:v>
      </x:c>
      <x:c r="Q8" s="18" t="str">
        <x:v>Cross-domain, whole-farm and multi-resource integration</x:v>
      </x:c>
    </x:row>
    <x:row r="9" ht="39.599998474121094" hidden="0" customHeight="1">
      <x:c r="A9" s="18" t="str">
        <x:v>S08</x:v>
      </x:c>
      <x:c r="B9" s="18" t="str">
        <x:v>SF08</x:v>
      </x:c>
      <x:c r="C9" s="18" t="n">
        <x:v>2025</x:v>
      </x:c>
      <x:c r="D9" s="18" t="str">
        <x:v>Irrigation / water management</x:v>
      </x:c>
      <x:c r="E9" s="18" t="str">
        <x:v>Investigate POMDP-based operation with EKF belief states; incorporate future weather/crop predictions; explore transfer learning across fields; reduce coordinator input dimensionality while quantifying information-loss tradeoffs; improve training efficiency and large-field scalability.</x:v>
      </x:c>
      <x:c r="F9" s="18" t="n">
        <x:v>0</x:v>
      </x:c>
      <x:c r="G9" s="18" t="n">
        <x:v>0</x:v>
      </x:c>
      <x:c r="H9" s="18" t="n">
        <x:v>1</x:v>
      </x:c>
      <x:c r="I9" s="18" t="n">
        <x:v>0</x:v>
      </x:c>
      <x:c r="J9" s="18" t="n">
        <x:v>1</x:v>
      </x:c>
      <x:c r="K9" s="18" t="n">
        <x:v>0</x:v>
      </x:c>
      <x:c r="L9" s="18" t="n">
        <x:v>0</x:v>
      </x:c>
      <x:c r="M9" s="18" t="n">
        <x:v>1</x:v>
      </x:c>
      <x:c r="N9" s="18" t="n">
        <x:v>3</x:v>
      </x:c>
      <x:c r="P9" s="18" t="str">
        <x:v>G8</x:v>
      </x:c>
      <x:c r="Q9" s="18" t="str">
        <x:v>Adaptive, distributed and institutionally realistic coordination</x:v>
      </x:c>
    </x:row>
    <x:row r="10" ht="39.599998474121094" hidden="0" customHeight="1">
      <x:c r="A10" s="18" t="str">
        <x:v>S09</x:v>
      </x:c>
      <x:c r="B10" s="18" t="str">
        <x:v>SF09</x:v>
      </x:c>
      <x:c r="C10" s="18" t="n">
        <x:v>2024</x:v>
      </x:c>
      <x:c r="D10" s="18" t="str">
        <x:v>Energy / WEF nexus</x:v>
      </x:c>
      <x:c r="E10" s="18" t="str">
        <x:v>Extend the framework to simultaneous water regulation and energy management; incorporate additional renewable energy sources/storage such as wind and geothermal; consider broader greenhouse energy needs and real-world implementation.</x:v>
      </x:c>
      <x:c r="F10" s="18" t="n">
        <x:v>1</x:v>
      </x:c>
      <x:c r="G10" s="18" t="n">
        <x:v>0</x:v>
      </x:c>
      <x:c r="H10" s="18" t="n">
        <x:v>0</x:v>
      </x:c>
      <x:c r="I10" s="18" t="n">
        <x:v>0</x:v>
      </x:c>
      <x:c r="J10" s="18" t="n">
        <x:v>0</x:v>
      </x:c>
      <x:c r="K10" s="18" t="n">
        <x:v>1</x:v>
      </x:c>
      <x:c r="L10" s="18" t="n">
        <x:v>1</x:v>
      </x:c>
      <x:c r="M10" s="18" t="n">
        <x:v>0</x:v>
      </x:c>
      <x:c r="N10" s="18" t="n">
        <x:v>3</x:v>
      </x:c>
    </x:row>
    <x:row r="11" ht="39.599998474121094" hidden="0" customHeight="1">
      <x:c r="A11" s="18" t="str">
        <x:v>S10</x:v>
      </x:c>
      <x:c r="B11" s="18" t="str">
        <x:v>SF10</x:v>
      </x:c>
      <x:c r="C11" s="18" t="n">
        <x:v>2011</x:v>
      </x:c>
      <x:c r="D11" s="18" t="str">
        <x:v>Livestock / integrated farming</x:v>
      </x:c>
      <x:c r="E11" s="18" t="str">
        <x:v>Extend CaTMAS to regional/national scales and inter-village flows; add adaptive farmer behaviour and technology diffusion; couple with economic/carbon-payment models; improve farmer-strategy diversity/learning; add carbon-credit trading and improve the decision-support user interface.</x:v>
      </x:c>
      <x:c r="F11" s="18" t="n">
        <x:v>0</x:v>
      </x:c>
      <x:c r="G11" s="18" t="n">
        <x:v>1</x:v>
      </x:c>
      <x:c r="H11" s="18" t="n">
        <x:v>1</x:v>
      </x:c>
      <x:c r="I11" s="18" t="n">
        <x:v>0</x:v>
      </x:c>
      <x:c r="J11" s="18" t="n">
        <x:v>1</x:v>
      </x:c>
      <x:c r="K11" s="18" t="n">
        <x:v>1</x:v>
      </x:c>
      <x:c r="L11" s="18" t="n">
        <x:v>1</x:v>
      </x:c>
      <x:c r="M11" s="18" t="n">
        <x:v>1</x:v>
      </x:c>
      <x:c r="N11" s="18" t="n">
        <x:v>6</x:v>
      </x:c>
    </x:row>
    <x:row r="12" ht="52.79999923706055" hidden="0" customHeight="1">
      <x:c r="A12" s="18" t="str">
        <x:v>S11</x:v>
      </x:c>
      <x:c r="B12" s="18" t="str">
        <x:v>SF05</x:v>
      </x:c>
      <x:c r="C12" s="18" t="n">
        <x:v>2026</x:v>
      </x:c>
      <x:c r="D12" s="18" t="str">
        <x:v>Energy / WEF nexus</x:v>
      </x:c>
      <x:c r="E12" s="18" t="str">
        <x:v>Real-world deployment and field trials; asynchronous/flexible dairy-load coordination and virtual aggregation; line-loss modelling; battery degradation/sizing optimisation; load/generation forecasting; heterogeneous-agent policies; supportive policy/incentive design; robust data augmentation/transfer learning and stronger privacy mechanisms; hybrid DQN/PPO approaches.</x:v>
      </x:c>
      <x:c r="F12" s="18" t="n">
        <x:v>1</x:v>
      </x:c>
      <x:c r="G12" s="18" t="n">
        <x:v>1</x:v>
      </x:c>
      <x:c r="H12" s="18" t="n">
        <x:v>0</x:v>
      </x:c>
      <x:c r="I12" s="18" t="n">
        <x:v>0</x:v>
      </x:c>
      <x:c r="J12" s="18" t="n">
        <x:v>1</x:v>
      </x:c>
      <x:c r="K12" s="18" t="n">
        <x:v>0</x:v>
      </x:c>
      <x:c r="L12" s="18" t="n">
        <x:v>0</x:v>
      </x:c>
      <x:c r="M12" s="18" t="n">
        <x:v>1</x:v>
      </x:c>
      <x:c r="N12" s="18" t="n">
        <x:v>4</x:v>
      </x:c>
    </x:row>
    <x:row r="13" ht="39.599998474121094" hidden="0" customHeight="1">
      <x:c r="A13" s="18" t="str">
        <x:v>S12</x:v>
      </x:c>
      <x:c r="B13" s="18" t="str">
        <x:v>SF12</x:v>
      </x:c>
      <x:c r="C13" s="18" t="n">
        <x:v>2023</x:v>
      </x:c>
      <x:c r="D13" s="18" t="str">
        <x:v>Soil / nutrient / environmental management</x:v>
      </x:c>
      <x:c r="E13" s="18" t="str">
        <x:v>Update regional parameters and transfer functions; add dynamic rules for household/plot attributes such as labour and gender; validate with independent datasets; scale to larger landscapes and additional socio-ecological processes.</x:v>
      </x:c>
      <x:c r="F13" s="18" t="n">
        <x:v>1</x:v>
      </x:c>
      <x:c r="G13" s="18" t="n">
        <x:v>1</x:v>
      </x:c>
      <x:c r="H13" s="18" t="n">
        <x:v>1</x:v>
      </x:c>
      <x:c r="I13" s="18" t="n">
        <x:v>0</x:v>
      </x:c>
      <x:c r="J13" s="18" t="n">
        <x:v>1</x:v>
      </x:c>
      <x:c r="K13" s="18" t="n">
        <x:v>1</x:v>
      </x:c>
      <x:c r="L13" s="18" t="n">
        <x:v>0</x:v>
      </x:c>
      <x:c r="M13" s="18" t="n">
        <x:v>0</x:v>
      </x:c>
      <x:c r="N13" s="18" t="n">
        <x:v>5</x:v>
      </x:c>
    </x:row>
    <x:row r="14" ht="26.399999618530273" hidden="0" customHeight="1">
      <x:c r="A14" s="18" t="str">
        <x:v>S13</x:v>
      </x:c>
      <x:c r="B14" s="18" t="str">
        <x:v>SF13</x:v>
      </x:c>
      <x:c r="C14" s="18" t="n">
        <x:v>2014</x:v>
      </x:c>
      <x:c r="D14" s="18" t="str">
        <x:v>Irrigation / water management</x:v>
      </x:c>
      <x:c r="E14" s="18" t="str">
        <x:v>Continue calibration/evaluation and application of MAELIA to concrete water-management scenarios and decision-support systems for local State services.</x:v>
      </x:c>
      <x:c r="F14" s="18" t="n">
        <x:v>1</x:v>
      </x:c>
      <x:c r="G14" s="18" t="n">
        <x:v>0</x:v>
      </x:c>
      <x:c r="H14" s="18" t="n">
        <x:v>0</x:v>
      </x:c>
      <x:c r="I14" s="18" t="n">
        <x:v>0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1</x:v>
      </x:c>
    </x:row>
    <x:row r="15" ht="26.399999618530273" hidden="0" customHeight="1">
      <x:c r="A15" s="18" t="str">
        <x:v>S14</x:v>
      </x:c>
      <x:c r="B15" s="18" t="str">
        <x:v>SF14</x:v>
      </x:c>
      <x:c r="C15" s="18" t="n">
        <x:v>2019</x:v>
      </x:c>
      <x:c r="D15" s="18" t="str">
        <x:v>Livestock / integrated farming</x:v>
      </x:c>
      <x:c r="E15" s="18" t="str">
        <x:v>Identify network structures, community/institutional features and ecological factors associated with escalation/de-escalation; derive and validate mobility/interaction patterns with empirical data.</x:v>
      </x:c>
      <x:c r="F15" s="18" t="n">
        <x:v>1</x:v>
      </x:c>
      <x:c r="G15" s="18" t="n">
        <x:v>1</x:v>
      </x:c>
      <x:c r="H15" s="18" t="n">
        <x:v>0</x:v>
      </x:c>
      <x:c r="I15" s="18" t="n">
        <x:v>0</x:v>
      </x:c>
      <x:c r="J15" s="18" t="n">
        <x:v>0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</x:row>
    <x:row r="16" ht="26.399999618530273" hidden="0" customHeight="1">
      <x:c r="A16" s="18" t="str">
        <x:v>S15</x:v>
      </x:c>
      <x:c r="B16" s="18" t="str">
        <x:v>SF15</x:v>
      </x:c>
      <x:c r="C16" s="18" t="n">
        <x:v>2017</x:v>
      </x:c>
      <x:c r="D16" s="18" t="str">
        <x:v>Livestock / integrated farming</x:v>
      </x:c>
      <x:c r="E16" s="18" t="str">
        <x:v>Support free-format queries and parsing; develop an ontology; refine the decision-making engine; evaluate performance under more complex integrated dairy-farm decisions.</x:v>
      </x:c>
      <x:c r="F16" s="18" t="n">
        <x:v>0</x:v>
      </x:c>
      <x:c r="G16" s="18" t="n">
        <x:v>0</x:v>
      </x:c>
      <x:c r="H16" s="18" t="n">
        <x:v>0</x:v>
      </x:c>
      <x:c r="I16" s="18" t="n">
        <x:v>0</x:v>
      </x:c>
      <x:c r="J16" s="18" t="n">
        <x:v>0</x:v>
      </x:c>
      <x:c r="K16" s="18" t="n">
        <x:v>0</x:v>
      </x:c>
      <x:c r="L16" s="18" t="n">
        <x:v>1</x:v>
      </x:c>
      <x:c r="M16" s="18" t="n">
        <x:v>0</x:v>
      </x:c>
      <x:c r="N16" s="18" t="n">
        <x:v>1</x:v>
      </x:c>
    </x:row>
    <x:row r="17" ht="26.399999618530273" hidden="0" customHeight="1">
      <x:c r="A17" s="18" t="str">
        <x:v>S16</x:v>
      </x:c>
      <x:c r="B17" s="18" t="str">
        <x:v>SF16</x:v>
      </x:c>
      <x:c r="C17" s="18" t="n">
        <x:v>2023</x:v>
      </x:c>
      <x:c r="D17" s="18" t="str">
        <x:v>Irrigation / water management</x:v>
      </x:c>
      <x:c r="E17" s="18" t="str">
        <x:v>Investigate second-round mechanisms such as continuous double auctions to reduce unmatched surplus; adapt water-use and farmer-behaviour parameters for other regions and contexts.</x:v>
      </x:c>
      <x:c r="F17" s="18" t="n">
        <x:v>0</x:v>
      </x:c>
      <x:c r="G17" s="18" t="n">
        <x:v>1</x:v>
      </x:c>
      <x:c r="H17" s="18" t="n">
        <x:v>1</x:v>
      </x:c>
      <x:c r="I17" s="18" t="n">
        <x:v>1</x:v>
      </x:c>
      <x:c r="J17" s="18" t="n">
        <x:v>0</x:v>
      </x:c>
      <x:c r="K17" s="18" t="n">
        <x:v>0</x:v>
      </x:c>
      <x:c r="L17" s="18" t="n">
        <x:v>0</x:v>
      </x:c>
      <x:c r="M17" s="18" t="n">
        <x:v>1</x:v>
      </x:c>
      <x:c r="N17" s="18" t="n">
        <x:v>4</x:v>
      </x:c>
    </x:row>
    <x:row r="18" ht="39.599998474121094" hidden="0" customHeight="1">
      <x:c r="A18" s="18" t="str">
        <x:v>S17</x:v>
      </x:c>
      <x:c r="B18" s="18" t="str">
        <x:v>SF17</x:v>
      </x:c>
      <x:c r="C18" s="18" t="n">
        <x:v>2026</x:v>
      </x:c>
      <x:c r="D18" s="18" t="str">
        <x:v>Crop / farm management</x:v>
      </x:c>
      <x:c r="E18" s="18" t="str">
        <x:v>Develop more reliable environmental databases and extend dynamic/LCA assessment to support cleaner technologies, optimised fertiliser/pesticide use, lower fossil-fuel dependence and more climate-resilient sugarcane management.</x:v>
      </x:c>
      <x:c r="F18" s="18" t="n">
        <x:v>0</x:v>
      </x:c>
      <x:c r="G18" s="18" t="n">
        <x:v>0</x:v>
      </x:c>
      <x:c r="H18" s="18" t="n">
        <x:v>1</x:v>
      </x:c>
      <x:c r="I18" s="18" t="n">
        <x:v>0</x:v>
      </x:c>
      <x:c r="J18" s="18" t="n">
        <x:v>0</x:v>
      </x:c>
      <x:c r="K18" s="18" t="n">
        <x:v>1</x:v>
      </x:c>
      <x:c r="L18" s="18" t="n">
        <x:v>1</x:v>
      </x:c>
      <x:c r="M18" s="18" t="n">
        <x:v>0</x:v>
      </x:c>
      <x:c r="N18" s="18" t="n">
        <x:v>3</x:v>
      </x:c>
    </x:row>
    <x:row r="19" ht="39.599998474121094" hidden="0" customHeight="1">
      <x:c r="A19" s="18" t="str">
        <x:v>S18</x:v>
      </x:c>
      <x:c r="B19" s="18" t="str">
        <x:v>SF18</x:v>
      </x:c>
      <x:c r="C19" s="18" t="n">
        <x:v>2026</x:v>
      </x:c>
      <x:c r="D19" s="18" t="str">
        <x:v>Crop / farm management</x:v>
      </x:c>
      <x:c r="E19" s="18" t="str">
        <x:v>Validate on real heterogeneous IoT datasets and live smart farms; investigate more advanced hybrid quantum-classical circuits; incorporate weather, pest and market predictors; optimise edge quantum computation/energy efficiency.</x:v>
      </x:c>
      <x:c r="F19" s="18" t="n">
        <x:v>1</x:v>
      </x:c>
      <x:c r="G19" s="18" t="n">
        <x:v>0</x:v>
      </x:c>
      <x:c r="H19" s="18" t="n">
        <x:v>1</x:v>
      </x:c>
      <x:c r="I19" s="18" t="n">
        <x:v>0</x:v>
      </x:c>
      <x:c r="J19" s="18" t="n">
        <x:v>1</x:v>
      </x:c>
      <x:c r="K19" s="18" t="n">
        <x:v>1</x:v>
      </x:c>
      <x:c r="L19" s="18" t="n">
        <x:v>1</x:v>
      </x:c>
      <x:c r="M19" s="18" t="n">
        <x:v>0</x:v>
      </x:c>
      <x:c r="N19" s="18" t="n">
        <x:v>5</x:v>
      </x:c>
    </x:row>
    <x:row r="20" ht="39.599998474121094" hidden="0" customHeight="1">
      <x:c r="A20" s="18" t="str">
        <x:v>S19</x:v>
      </x:c>
      <x:c r="B20" s="18" t="str">
        <x:v>SF19</x:v>
      </x:c>
      <x:c r="C20" s="18" t="n">
        <x:v>2024</x:v>
      </x:c>
      <x:c r="D20" s="18" t="str">
        <x:v>Workforce / robotics / task allocation</x:v>
      </x:c>
      <x:c r="E20" s="18" t="str">
        <x:v>Compare against Genetic Algorithm and constrained PSO; add parallel robot movement and obstacle avoidance; evaluate broader task-allocation problems in dynamic and uncertain agricultural environments.</x:v>
      </x:c>
      <x:c r="F20" s="18" t="n">
        <x:v>0</x:v>
      </x:c>
      <x:c r="G20" s="18" t="n">
        <x:v>0</x:v>
      </x:c>
      <x:c r="H20" s="18" t="n">
        <x:v>1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3</x:v>
      </x:c>
    </x:row>
    <x:row r="21" ht="39.599998474121094" hidden="0" customHeight="1">
      <x:c r="A21" s="18" t="str">
        <x:v>S20</x:v>
      </x:c>
      <x:c r="B21" s="18" t="str">
        <x:v>SF16</x:v>
      </x:c>
      <x:c r="C21" s="18" t="n">
        <x:v>2020</x:v>
      </x:c>
      <x:c r="D21" s="18" t="str">
        <x:v>Irrigation / water management</x:v>
      </x:c>
      <x:c r="E21" s="18" t="str">
        <x:v>Implement combinatorial/multiunit auctions so water can be sold in different volumes/prices; explore additional auction mechanisms and mechanisms that improve seller recovery and market efficiency.</x:v>
      </x:c>
      <x:c r="F21" s="18" t="n">
        <x:v>0</x:v>
      </x:c>
      <x:c r="G21" s="18" t="n">
        <x:v>0</x:v>
      </x:c>
      <x:c r="H21" s="18" t="n">
        <x:v>0</x:v>
      </x:c>
      <x:c r="I21" s="18" t="n">
        <x:v>1</x:v>
      </x:c>
      <x:c r="J21" s="18" t="n">
        <x:v>0</x:v>
      </x:c>
      <x:c r="K21" s="18" t="n">
        <x:v>0</x:v>
      </x:c>
      <x:c r="L21" s="18" t="n">
        <x:v>0</x:v>
      </x:c>
      <x:c r="M21" s="18" t="n">
        <x:v>1</x:v>
      </x:c>
      <x:c r="N21" s="18" t="n">
        <x:v>2</x:v>
      </x:c>
    </x:row>
    <x:row r="22" ht="39.599998474121094" hidden="0" customHeight="1">
      <x:c r="A22" s="18" t="str">
        <x:v>S21</x:v>
      </x:c>
      <x:c r="B22" s="18" t="str">
        <x:v>SF21</x:v>
      </x:c>
      <x:c r="C22" s="18" t="n">
        <x:v>2026</x:v>
      </x:c>
      <x:c r="D22" s="18" t="str">
        <x:v>Irrigation / water management</x:v>
      </x:c>
      <x:c r="E22" s="18" t="str">
        <x:v>Validate with on-field sensors, measured soil/weather/yield data and working-farm pilots; test robustness to noisy sensing and other agro-climatic regions; develop lightweight edge deployment, longer seasonal learning and farmer-facing decision-support interfaces.</x:v>
      </x:c>
      <x:c r="F22" s="18" t="n">
        <x:v>1</x:v>
      </x:c>
      <x:c r="G22" s="18" t="n">
        <x:v>0</x:v>
      </x:c>
      <x:c r="H22" s="18" t="n">
        <x:v>1</x:v>
      </x:c>
      <x:c r="I22" s="18" t="n">
        <x:v>0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3</x:v>
      </x:c>
    </x:row>
    <x:row r="23" ht="26.399999618530273" hidden="0" customHeight="1">
      <x:c r="A23" s="18" t="str">
        <x:v>S22</x:v>
      </x:c>
      <x:c r="B23" s="18" t="str">
        <x:v>SF13</x:v>
      </x:c>
      <x:c r="C23" s="18" t="n">
        <x:v>2014</x:v>
      </x:c>
      <x:c r="D23" s="18" t="str">
        <x:v>Irrigation / water management</x:v>
      </x:c>
      <x:c r="E23" s="18" t="str">
        <x:v>Complete process calibration and evaluation; run and compare the planned water-management/climate scenarios; strengthen integrated validation of coupled processes.</x:v>
      </x:c>
      <x:c r="F23" s="18" t="n">
        <x:v>1</x:v>
      </x:c>
      <x:c r="G23" s="18" t="n">
        <x:v>0</x:v>
      </x:c>
      <x:c r="H23" s="18" t="n">
        <x:v>0</x:v>
      </x:c>
      <x:c r="I23" s="18" t="n">
        <x:v>0</x:v>
      </x:c>
      <x:c r="J23" s="18" t="n">
        <x:v>0</x:v>
      </x:c>
      <x:c r="K23" s="18" t="n">
        <x:v>0</x:v>
      </x:c>
      <x:c r="L23" s="18" t="n">
        <x:v>0</x:v>
      </x:c>
      <x:c r="M23" s="18" t="n">
        <x:v>0</x:v>
      </x:c>
      <x:c r="N23" s="18" t="n">
        <x:v>1</x:v>
      </x:c>
    </x:row>
    <x:row r="24" ht="15" hidden="0" customHeight="1">
      <x:c r="A24" s="18" t="str">
        <x:v>S23</x:v>
      </x:c>
      <x:c r="B24" s="18" t="str">
        <x:v>SF08</x:v>
      </x:c>
      <x:c r="C24" s="18" t="n">
        <x:v>2024</x:v>
      </x:c>
      <x:c r="D24" s="18" t="str">
        <x:v>Irrigation / water management</x:v>
      </x:c>
      <x:c r="E24" s="18" t="str">
        <x:v>NR</x:v>
      </x:c>
      <x:c r="F24" s="18" t="n">
        <x:v>0</x:v>
      </x:c>
      <x:c r="G24" s="18" t="n">
        <x:v>0</x:v>
      </x:c>
      <x:c r="H24" s="18" t="n">
        <x:v>0</x:v>
      </x:c>
      <x:c r="I24" s="18" t="n">
        <x:v>0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</x:row>
    <x:row r="25" ht="15" hidden="0" customHeight="1">
      <x:c r="A25" s="18" t="str">
        <x:v>S24</x:v>
      </x:c>
      <x:c r="B25" s="18" t="str">
        <x:v>SF24</x:v>
      </x:c>
      <x:c r="C25" s="18" t="n">
        <x:v>2019</x:v>
      </x:c>
      <x:c r="D25" s="18" t="str">
        <x:v>Irrigation / water management</x:v>
      </x:c>
      <x:c r="E25" s="18" t="str">
        <x:v>NR</x:v>
      </x:c>
      <x:c r="F25" s="18" t="n">
        <x:v>0</x:v>
      </x:c>
      <x:c r="G25" s="18" t="n">
        <x:v>0</x:v>
      </x:c>
      <x:c r="H25" s="18" t="n">
        <x:v>0</x:v>
      </x:c>
      <x:c r="I25" s="18" t="n">
        <x:v>0</x:v>
      </x:c>
      <x:c r="J25" s="18" t="n">
        <x:v>0</x:v>
      </x:c>
      <x:c r="K25" s="18" t="n">
        <x:v>0</x:v>
      </x:c>
      <x:c r="L25" s="18" t="n">
        <x:v>0</x:v>
      </x:c>
      <x:c r="M25" s="18" t="n">
        <x:v>0</x:v>
      </x:c>
      <x:c r="N25" s="18" t="n">
        <x:v>0</x:v>
      </x:c>
    </x:row>
    <x:row r="26" ht="39.599998474121094" hidden="0" customHeight="1">
      <x:c r="A26" s="18" t="str">
        <x:v>S25</x:v>
      </x:c>
      <x:c r="B26" s="18" t="str">
        <x:v>SF25</x:v>
      </x:c>
      <x:c r="C26" s="18" t="n">
        <x:v>2023</x:v>
      </x:c>
      <x:c r="D26" s="18" t="str">
        <x:v>Workforce / robotics / task allocation</x:v>
      </x:c>
      <x:c r="E26" s="18" t="str">
        <x:v>Deploy proposed team allocations on a commercial farm; improve the simulator with deployment data; test additional task-allocation mechanisms/parameters; evaluate hybrid human-robot workforces.</x:v>
      </x:c>
      <x:c r="F26" s="18" t="n">
        <x:v>1</x:v>
      </x:c>
      <x:c r="G26" s="18" t="n">
        <x:v>0</x:v>
      </x:c>
      <x:c r="H26" s="18" t="n">
        <x:v>0</x:v>
      </x:c>
      <x:c r="I26" s="18" t="n">
        <x:v>1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</x:row>
    <x:row r="27" ht="66" hidden="0" customHeight="1">
      <x:c r="A27" s="18" t="str">
        <x:v>S26</x:v>
      </x:c>
      <x:c r="B27" s="18" t="str">
        <x:v>SF26</x:v>
      </x:c>
      <x:c r="C27" s="18" t="n">
        <x:v>2021</x:v>
      </x:c>
      <x:c r="D27" s="18" t="str">
        <x:v>Irrigation / water management</x:v>
      </x:c>
      <x:c r="E27" s="18" t="str">
        <x:v>Improve agent-level diversion and shortage-allocation data; incorporate climate and model-structure uncertainty; include physical and socioeconomic decision factors; use survey/first-hand behavioural data; introduce additional water-user types such as municipal and industrial agents; incorporate crop economic values and production functions; evaluate newer CRSS policies including the 2019 Drought Contingency Plan.</x:v>
      </x:c>
      <x:c r="F27" s="18" t="n">
        <x:v>1</x:v>
      </x:c>
      <x:c r="G27" s="18" t="n">
        <x:v>1</x:v>
      </x:c>
      <x:c r="H27" s="18" t="n">
        <x:v>1</x:v>
      </x:c>
      <x:c r="I27" s="18" t="n">
        <x:v>0</x:v>
      </x:c>
      <x:c r="J27" s="18" t="n">
        <x:v>0</x:v>
      </x:c>
      <x:c r="K27" s="18" t="n">
        <x:v>1</x:v>
      </x:c>
      <x:c r="L27" s="18" t="n">
        <x:v>1</x:v>
      </x:c>
      <x:c r="M27" s="18" t="n">
        <x:v>0</x:v>
      </x:c>
      <x:c r="N27" s="18" t="n">
        <x:v>5</x:v>
      </x:c>
    </x:row>
    <x:row r="28" ht="52.79999923706055" hidden="0" customHeight="1">
      <x:c r="A28" s="18" t="str">
        <x:v>S27</x:v>
      </x:c>
      <x:c r="B28" s="18" t="str">
        <x:v>SF27</x:v>
      </x:c>
      <x:c r="C28" s="18" t="n">
        <x:v>2013</x:v>
      </x:c>
      <x:c r="D28" s="18" t="str">
        <x:v>Irrigation / water management</x:v>
      </x:c>
      <x:c r="E28" s="18" t="str">
        <x:v>Add individual/collective learning and farmer interaction; include heterogeneous soils and multiple climate scenarios; integrate GIS/spatially explicit modelling; strengthen sensitivity, calibration, validation and uncertainty/error-propagation analysis; consider migration to an agent-based platform.</x:v>
      </x:c>
      <x:c r="F28" s="18" t="n">
        <x:v>1</x:v>
      </x:c>
      <x:c r="G28" s="18" t="n">
        <x:v>1</x:v>
      </x:c>
      <x:c r="H28" s="18" t="n">
        <x:v>1</x:v>
      </x:c>
      <x:c r="I28" s="18" t="n">
        <x:v>0</x:v>
      </x:c>
      <x:c r="J28" s="18" t="n">
        <x:v>0</x:v>
      </x:c>
      <x:c r="K28" s="18" t="n">
        <x:v>1</x:v>
      </x:c>
      <x:c r="L28" s="18" t="n">
        <x:v>0</x:v>
      </x:c>
      <x:c r="M28" s="18" t="n">
        <x:v>1</x:v>
      </x:c>
      <x:c r="N28" s="18" t="n">
        <x:v>5</x:v>
      </x:c>
    </x:row>
    <x:row r="29" ht="39.599998474121094" hidden="0" customHeight="1">
      <x:c r="A29" s="18" t="str">
        <x:v>S28</x:v>
      </x:c>
      <x:c r="B29" s="18" t="str">
        <x:v>SF28</x:v>
      </x:c>
      <x:c r="C29" s="18" t="n">
        <x:v>2010</x:v>
      </x:c>
      <x:c r="D29" s="18" t="str">
        <x:v>Soil / nutrient / environmental management</x:v>
      </x:c>
      <x:c r="E29" s="18" t="str">
        <x:v>Develop a positive/behavioural version for farmer responses to policy change; integrate manure management with broader whole-farm decisions; extend temporal/environmental dynamics and apply the MP-MAS approach to other spatial pollution/resource problems.</x:v>
      </x:c>
      <x:c r="F29" s="18" t="n">
        <x:v>0</x:v>
      </x:c>
      <x:c r="G29" s="18" t="n">
        <x:v>1</x:v>
      </x:c>
      <x:c r="H29" s="18" t="n">
        <x:v>0</x:v>
      </x:c>
      <x:c r="I29" s="18" t="n">
        <x:v>0</x:v>
      </x:c>
      <x:c r="J29" s="18" t="n">
        <x:v>0</x:v>
      </x:c>
      <x:c r="K29" s="18" t="n">
        <x:v>1</x:v>
      </x:c>
      <x:c r="L29" s="18" t="n">
        <x:v>1</x:v>
      </x:c>
      <x:c r="M29" s="18" t="n">
        <x:v>0</x:v>
      </x:c>
      <x:c r="N29" s="18" t="n">
        <x:v>3</x:v>
      </x:c>
    </x:row>
    <x:row r="30" ht="26.399999618530273" hidden="0" customHeight="1">
      <x:c r="A30" s="18" t="str">
        <x:v>S29</x:v>
      </x:c>
      <x:c r="B30" s="18" t="str">
        <x:v>SF05</x:v>
      </x:c>
      <x:c r="C30" s="18" t="n">
        <x:v>2024</x:v>
      </x:c>
      <x:c r="D30" s="18" t="str">
        <x:v>Energy / WEF nexus</x:v>
      </x:c>
      <x:c r="E30" s="18" t="str">
        <x:v>Investigate the influence of bidding prices on load/battery management; incorporate line losses; use MARL to improve market estimation and decision-making.</x:v>
      </x:c>
      <x:c r="F30" s="18" t="n">
        <x:v>0</x:v>
      </x:c>
      <x:c r="G30" s="18" t="n">
        <x:v>0</x:v>
      </x:c>
      <x:c r="H30" s="18" t="n">
        <x:v>0</x:v>
      </x:c>
      <x:c r="I30" s="18" t="n">
        <x:v>0</x:v>
      </x:c>
      <x:c r="J30" s="18" t="n">
        <x:v>0</x:v>
      </x:c>
      <x:c r="K30" s="18" t="n">
        <x:v>0</x:v>
      </x:c>
      <x:c r="L30" s="18" t="n">
        <x:v>0</x:v>
      </x:c>
      <x:c r="M30" s="18" t="n">
        <x:v>1</x:v>
      </x:c>
      <x:c r="N30" s="18" t="n">
        <x:v>1</x:v>
      </x:c>
    </x:row>
    <x:row r="31" ht="52.79999923706055" hidden="0" customHeight="1">
      <x:c r="A31" s="18" t="str">
        <x:v>S30</x:v>
      </x:c>
      <x:c r="B31" s="18" t="str">
        <x:v>SF30</x:v>
      </x:c>
      <x:c r="C31" s="18" t="n">
        <x:v>2018</x:v>
      </x:c>
      <x:c r="D31" s="18" t="str">
        <x:v>Irrigation / water management</x:v>
      </x:c>
      <x:c r="E31" s="18" t="str">
        <x:v>Improve bid quality through client communication; investigate alternative bidding/base policies; study relation to knapsack optimisation; use more comprehensive crop-growth models; model temporal resource-ordering constraints; include resource constraints over the complete growing season; investigate realistic cost parameters.</x:v>
      </x:c>
      <x:c r="F31" s="18" t="n">
        <x:v>0</x:v>
      </x:c>
      <x:c r="G31" s="18" t="n">
        <x:v>0</x:v>
      </x:c>
      <x:c r="H31" s="18" t="n">
        <x:v>1</x:v>
      </x:c>
      <x:c r="I31" s="18" t="n">
        <x:v>1</x:v>
      </x:c>
      <x:c r="J31" s="18" t="n">
        <x:v>0</x:v>
      </x:c>
      <x:c r="K31" s="18" t="n">
        <x:v>1</x:v>
      </x:c>
      <x:c r="L31" s="18" t="n">
        <x:v>0</x:v>
      </x:c>
      <x:c r="M31" s="18" t="n">
        <x:v>1</x:v>
      </x:c>
      <x:c r="N31" s="18" t="n">
        <x:v>4</x:v>
      </x:c>
    </x:row>
    <x:row r="32" ht="26.399999618530273" hidden="0" customHeight="1">
      <x:c r="A32" s="18" t="str">
        <x:v>S31</x:v>
      </x:c>
      <x:c r="B32" s="18" t="str">
        <x:v>SF31</x:v>
      </x:c>
      <x:c r="C32" s="18" t="n">
        <x:v>2022</x:v>
      </x:c>
      <x:c r="D32" s="18" t="str">
        <x:v>Workforce / robotics / task allocation</x:v>
      </x:c>
      <x:c r="E32" s="18" t="str">
        <x:v>NR</x:v>
      </x:c>
      <x:c r="F32" s="18" t="n">
        <x:v>0</x:v>
      </x:c>
      <x:c r="G32" s="18" t="n">
        <x:v>0</x:v>
      </x:c>
      <x:c r="H32" s="18" t="n">
        <x:v>0</x:v>
      </x:c>
      <x:c r="I32" s="18" t="n">
        <x:v>0</x:v>
      </x:c>
      <x:c r="J32" s="18" t="n">
        <x:v>0</x:v>
      </x:c>
      <x:c r="K32" s="18" t="n">
        <x:v>0</x:v>
      </x:c>
      <x:c r="L32" s="18" t="n">
        <x:v>0</x:v>
      </x:c>
      <x:c r="M32" s="18" t="n">
        <x:v>0</x:v>
      </x:c>
      <x:c r="N32" s="18" t="n">
        <x:v>0</x:v>
      </x:c>
    </x:row>
    <x:row r="33" ht="15" hidden="0" customHeight="1">
      <x:c r="A33" s="18" t="str">
        <x:v>S32</x:v>
      </x:c>
      <x:c r="B33" s="18" t="str">
        <x:v>SF32</x:v>
      </x:c>
      <x:c r="C33" s="18" t="n">
        <x:v>2012</x:v>
      </x:c>
      <x:c r="D33" s="18" t="str">
        <x:v>Irrigation / water management</x:v>
      </x:c>
      <x:c r="E33" s="18" t="str">
        <x:v>NR</x:v>
      </x:c>
      <x:c r="F33" s="18" t="n">
        <x:v>0</x:v>
      </x:c>
      <x:c r="G33" s="18" t="n">
        <x:v>0</x:v>
      </x:c>
      <x:c r="H33" s="18" t="n">
        <x:v>0</x:v>
      </x:c>
      <x:c r="I33" s="18" t="n">
        <x:v>0</x:v>
      </x:c>
      <x:c r="J33" s="18" t="n">
        <x:v>0</x:v>
      </x:c>
      <x:c r="K33" s="18" t="n">
        <x:v>0</x:v>
      </x:c>
      <x:c r="L33" s="18" t="n">
        <x:v>0</x:v>
      </x:c>
      <x:c r="M33" s="18" t="n">
        <x:v>0</x:v>
      </x:c>
      <x:c r="N33" s="18" t="n">
        <x:v>0</x:v>
      </x:c>
    </x:row>
    <x:row r="34" ht="39.599998474121094" hidden="0" customHeight="1">
      <x:c r="A34" s="18" t="str">
        <x:v>S33</x:v>
      </x:c>
      <x:c r="B34" s="18" t="str">
        <x:v>SF25</x:v>
      </x:c>
      <x:c r="C34" s="18" t="n">
        <x:v>2022</x:v>
      </x:c>
      <x:c r="D34" s="18" t="str">
        <x:v>Workforce / robotics / task allocation</x:v>
      </x:c>
      <x:c r="E34" s="18" t="str">
        <x:v>Compare additional task-allocation/evolutionary mechanisms; include worker preferences and weather/environment effects; run operational commercial-farm trials; improve yield prediction; evaluate hybrid human-robot harvesting workforces.</x:v>
      </x:c>
      <x:c r="F34" s="18" t="n">
        <x:v>1</x:v>
      </x:c>
      <x:c r="G34" s="18" t="n">
        <x:v>1</x:v>
      </x:c>
      <x:c r="H34" s="18" t="n">
        <x:v>0</x:v>
      </x:c>
      <x:c r="I34" s="18" t="n">
        <x:v>1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3</x:v>
      </x:c>
    </x:row>
    <x:row r="35" ht="39.599998474121094" hidden="0" customHeight="1">
      <x:c r="A35" s="18" t="str">
        <x:v>S34</x:v>
      </x:c>
      <x:c r="B35" s="18" t="str">
        <x:v>SF25</x:v>
      </x:c>
      <x:c r="C35" s="18" t="n">
        <x:v>2022</x:v>
      </x:c>
      <x:c r="D35" s="18" t="str">
        <x:v>Workforce / robotics / task allocation</x:v>
      </x:c>
      <x:c r="E35" s="18" t="str">
        <x:v>Study seasonal variation and adaptive GA population settings; gather farm-manager views on run-time; conduct real-world trials in which the commercial farm actually deploys the proposed teams.</x:v>
      </x:c>
      <x:c r="F35" s="18" t="n">
        <x:v>1</x:v>
      </x:c>
      <x:c r="G35" s="18" t="n">
        <x:v>0</x:v>
      </x:c>
      <x:c r="H35" s="18" t="n">
        <x:v>0</x:v>
      </x:c>
      <x:c r="I35" s="18" t="n">
        <x:v>0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</x:row>
    <x:row r="36" ht="26.399999618530273" hidden="0" customHeight="1">
      <x:c r="A36" s="18" t="str">
        <x:v>S35</x:v>
      </x:c>
      <x:c r="B36" s="18" t="str">
        <x:v>SF35</x:v>
      </x:c>
      <x:c r="C36" s="18" t="n">
        <x:v>2011</x:v>
      </x:c>
      <x:c r="D36" s="18" t="str">
        <x:v>Crop / farm management</x:v>
      </x:c>
      <x:c r="E36" s="18" t="str">
        <x:v>Extend group decision-making/user-association behaviour, collective investment/marketing, broader actor types and endogenous collective action.</x:v>
      </x:c>
      <x:c r="F36" s="18" t="n">
        <x:v>0</x:v>
      </x:c>
      <x:c r="G36" s="18" t="n">
        <x:v>1</x:v>
      </x:c>
      <x:c r="H36" s="18" t="n">
        <x:v>0</x:v>
      </x:c>
      <x:c r="I36" s="18" t="n">
        <x:v>0</x:v>
      </x:c>
      <x:c r="J36" s="18" t="n">
        <x:v>0</x:v>
      </x:c>
      <x:c r="K36" s="18" t="n">
        <x:v>0</x:v>
      </x:c>
      <x:c r="L36" s="18" t="n">
        <x:v>1</x:v>
      </x:c>
      <x:c r="M36" s="18" t="n">
        <x:v>1</x:v>
      </x:c>
      <x:c r="N36" s="18" t="n">
        <x:v>3</x:v>
      </x:c>
    </x:row>
    <x:row r="37" ht="26.399999618530273" hidden="0" customHeight="1">
      <x:c r="A37" s="18" t="str">
        <x:v>S36</x:v>
      </x:c>
      <x:c r="B37" s="18" t="str">
        <x:v>SF36</x:v>
      </x:c>
      <x:c r="C37" s="18" t="n">
        <x:v>2017</x:v>
      </x:c>
      <x:c r="D37" s="18" t="str">
        <x:v>Crop / farm management</x:v>
      </x:c>
      <x:c r="E37" s="18" t="str">
        <x:v>Improve risk/learning representation and pest-pressure/yield-damage ecology; extend IPM evidence to additional crops and settings.</x:v>
      </x:c>
      <x:c r="F37" s="18" t="n">
        <x:v>0</x:v>
      </x:c>
      <x:c r="G37" s="18" t="n">
        <x:v>1</x:v>
      </x:c>
      <x:c r="H37" s="18" t="n">
        <x:v>1</x:v>
      </x:c>
      <x:c r="I37" s="18" t="n">
        <x:v>0</x:v>
      </x:c>
      <x:c r="J37" s="18" t="n">
        <x:v>0</x:v>
      </x:c>
      <x:c r="K37" s="18" t="n">
        <x:v>1</x:v>
      </x:c>
      <x:c r="L37" s="18" t="n">
        <x:v>0</x:v>
      </x:c>
      <x:c r="M37" s="18" t="n">
        <x:v>0</x:v>
      </x:c>
      <x:c r="N37" s="18" t="n">
        <x:v>3</x:v>
      </x:c>
    </x:row>
    <x:row r="38" ht="39.599998474121094" hidden="0" customHeight="1">
      <x:c r="A38" s="18" t="str">
        <x:v>S37</x:v>
      </x:c>
      <x:c r="B38" s="18" t="str">
        <x:v>SF37</x:v>
      </x:c>
      <x:c r="C38" s="18" t="n">
        <x:v>2014</x:v>
      </x:c>
      <x:c r="D38" s="18" t="str">
        <x:v>Soil / nutrient / environmental management</x:v>
      </x:c>
      <x:c r="E38" s="18" t="str">
        <x:v>Field-test the most promising conservation practices locally, improve locally calibrated conservation-effect parameters, and strengthen behavioural representation beyond simplified profit maximisation.</x:v>
      </x:c>
      <x:c r="F38" s="18" t="n">
        <x:v>1</x:v>
      </x:c>
      <x:c r="G38" s="18" t="n">
        <x:v>1</x:v>
      </x:c>
      <x:c r="H38" s="18" t="n">
        <x:v>1</x:v>
      </x:c>
      <x:c r="I38" s="18" t="n">
        <x:v>0</x:v>
      </x:c>
      <x:c r="J38" s="18" t="n">
        <x:v>0</x:v>
      </x:c>
      <x:c r="K38" s="18" t="n">
        <x:v>1</x:v>
      </x:c>
      <x:c r="L38" s="18" t="n">
        <x:v>0</x:v>
      </x:c>
      <x:c r="M38" s="18" t="n">
        <x:v>0</x:v>
      </x:c>
      <x:c r="N38" s="18" t="n">
        <x:v>4</x:v>
      </x:c>
    </x:row>
    <x:row r="39" ht="26.399999618530273" hidden="0" customHeight="1">
      <x:c r="A39" s="18" t="str">
        <x:v>S38</x:v>
      </x:c>
      <x:c r="B39" s="18" t="str">
        <x:v>SF38</x:v>
      </x:c>
      <x:c r="C39" s="18" t="n">
        <x:v>2017</x:v>
      </x:c>
      <x:c r="D39" s="18" t="str">
        <x:v>Irrigation / water management</x:v>
      </x:c>
      <x:c r="E39" s="18" t="str">
        <x:v>Test cooperation mechanisms in more diverse/less successful irrigation contexts and examine how government support can foster cooperation without creating long-term dependence.</x:v>
      </x:c>
      <x:c r="F39" s="18" t="n">
        <x:v>0</x:v>
      </x:c>
      <x:c r="G39" s="18" t="n">
        <x:v>1</x:v>
      </x:c>
      <x:c r="H39" s="18" t="n">
        <x:v>1</x:v>
      </x:c>
      <x:c r="I39" s="18" t="n">
        <x:v>0</x:v>
      </x:c>
      <x:c r="J39" s="18" t="n">
        <x:v>0</x:v>
      </x:c>
      <x:c r="K39" s="18" t="n">
        <x:v>0</x:v>
      </x:c>
      <x:c r="L39" s="18" t="n">
        <x:v>0</x:v>
      </x:c>
      <x:c r="M39" s="18" t="n">
        <x:v>1</x:v>
      </x:c>
      <x:c r="N39" s="18" t="n">
        <x:v>3</x:v>
      </x:c>
    </x:row>
    <x:row r="40" ht="26.399999618530273" hidden="0" customHeight="1">
      <x:c r="A40" s="18" t="str">
        <x:v>S39</x:v>
      </x:c>
      <x:c r="B40" s="18" t="str">
        <x:v>SF39</x:v>
      </x:c>
      <x:c r="C40" s="18" t="n">
        <x:v>2020</x:v>
      </x:c>
      <x:c r="D40" s="18" t="str">
        <x:v>Irrigation / water management</x:v>
      </x:c>
      <x:c r="E40" s="18" t="str">
        <x:v>Empirically test farmer-attitude dynamics and policy incentives; extend to heterogeneous farms/crops and richer groundwater/pond hydrology.</x:v>
      </x:c>
      <x:c r="F40" s="18" t="n">
        <x:v>1</x:v>
      </x:c>
      <x:c r="G40" s="18" t="n">
        <x:v>1</x:v>
      </x:c>
      <x:c r="H40" s="18" t="n">
        <x:v>1</x:v>
      </x:c>
      <x:c r="I40" s="18" t="n">
        <x:v>0</x:v>
      </x:c>
      <x:c r="J40" s="18" t="n">
        <x:v>0</x:v>
      </x:c>
      <x:c r="K40" s="18" t="n">
        <x:v>1</x:v>
      </x:c>
      <x:c r="L40" s="18" t="n">
        <x:v>0</x:v>
      </x:c>
      <x:c r="M40" s="18" t="n">
        <x:v>0</x:v>
      </x:c>
      <x:c r="N40" s="18" t="n">
        <x:v>4</x:v>
      </x:c>
    </x:row>
    <x:row r="41" ht="39.599998474121094" hidden="0" customHeight="1">
      <x:c r="A41" s="18" t="str">
        <x:v>S40</x:v>
      </x:c>
      <x:c r="B41" s="18" t="str">
        <x:v>SF40</x:v>
      </x:c>
      <x:c r="C41" s="18" t="n">
        <x:v>2011</x:v>
      </x:c>
      <x:c r="D41" s="18" t="str">
        <x:v>Crop / farm management</x:v>
      </x:c>
      <x:c r="E41" s="18" t="str">
        <x:v>Collect empirical behavioural data through interviews, role-playing or historical records; improve calibration/validation of farmer decision rules and extend the framework to additional water-quality/bioenergy policy questions.</x:v>
      </x:c>
      <x:c r="F41" s="18" t="n">
        <x:v>1</x:v>
      </x:c>
      <x:c r="G41" s="18" t="n">
        <x:v>1</x:v>
      </x:c>
      <x:c r="H41" s="18" t="n">
        <x:v>0</x:v>
      </x:c>
      <x:c r="I41" s="18" t="n">
        <x:v>0</x:v>
      </x:c>
      <x:c r="J41" s="18" t="n">
        <x:v>0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</x:row>
    <x:row r="42" ht="26.399999618530273" hidden="0" customHeight="1">
      <x:c r="A42" s="18" t="str">
        <x:v>S41</x:v>
      </x:c>
      <x:c r="B42" s="18" t="str">
        <x:v>SF41</x:v>
      </x:c>
      <x:c r="C42" s="18" t="n">
        <x:v>2018</x:v>
      </x:c>
      <x:c r="D42" s="18" t="str">
        <x:v>Irrigation / water management</x:v>
      </x:c>
      <x:c r="E42" s="18" t="str">
        <x:v>Develop empirically grounded behavioural functions/mental maps and dynamic multi-period agent models, then validate management responses under real operational conditions.</x:v>
      </x:c>
      <x:c r="F42" s="18" t="n">
        <x:v>1</x:v>
      </x:c>
      <x:c r="G42" s="18" t="n">
        <x:v>1</x:v>
      </x:c>
      <x:c r="H42" s="18" t="n">
        <x:v>0</x:v>
      </x:c>
      <x:c r="I42" s="18" t="n">
        <x:v>0</x:v>
      </x:c>
      <x:c r="J42" s="18" t="n">
        <x:v>0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</x:row>
    <x:row r="43" ht="39.599998474121094" hidden="0" customHeight="1">
      <x:c r="A43" s="18" t="str">
        <x:v>S42</x:v>
      </x:c>
      <x:c r="B43" s="18" t="str">
        <x:v>SF42</x:v>
      </x:c>
      <x:c r="C43" s="18" t="n">
        <x:v>2014</x:v>
      </x:c>
      <x:c r="D43" s="18" t="str">
        <x:v>Irrigation / water management</x:v>
      </x:c>
      <x:c r="E43" s="18" t="str">
        <x:v>Use longer climate time series; add adaptive decision rules for extreme drought; represent conveyance/field losses; improve underrepresented crop practices; develop stakeholder-interaction strategies that stress transparency and model weaknesses.</x:v>
      </x:c>
      <x:c r="F43" s="18" t="n">
        <x:v>0</x:v>
      </x:c>
      <x:c r="G43" s="18" t="n">
        <x:v>1</x:v>
      </x:c>
      <x:c r="H43" s="18" t="n">
        <x:v>1</x:v>
      </x:c>
      <x:c r="I43" s="18" t="n">
        <x:v>0</x:v>
      </x:c>
      <x:c r="J43" s="18" t="n">
        <x:v>0</x:v>
      </x:c>
      <x:c r="K43" s="18" t="n">
        <x:v>1</x:v>
      </x:c>
      <x:c r="L43" s="18" t="n">
        <x:v>0</x:v>
      </x:c>
      <x:c r="M43" s="18" t="n">
        <x:v>1</x:v>
      </x:c>
      <x:c r="N43" s="18" t="n">
        <x:v>4</x:v>
      </x:c>
    </x:row>
    <x:row r="44" ht="26.399999618530273" hidden="0" customHeight="1">
      <x:c r="A44" s="18" t="str">
        <x:v>S43</x:v>
      </x:c>
      <x:c r="B44" s="18" t="str">
        <x:v>SF43</x:v>
      </x:c>
      <x:c r="C44" s="18" t="n">
        <x:v>2001</x:v>
      </x:c>
      <x:c r="D44" s="18" t="str">
        <x:v>Crop / farm management</x:v>
      </x:c>
      <x:c r="E44" s="18" t="str">
        <x:v>Verify results with improved empirical data; improve understanding of efficient land/water-market emergence; further test this model class and integrate richer ecological and economic processes.</x:v>
      </x:c>
      <x:c r="F44" s="18" t="n">
        <x:v>1</x:v>
      </x:c>
      <x:c r="G44" s="18" t="n">
        <x:v>0</x:v>
      </x:c>
      <x:c r="H44" s="18" t="n">
        <x:v>1</x:v>
      </x:c>
      <x:c r="I44" s="18" t="n">
        <x:v>0</x:v>
      </x:c>
      <x:c r="J44" s="18" t="n">
        <x:v>0</x:v>
      </x:c>
      <x:c r="K44" s="18" t="n">
        <x:v>1</x:v>
      </x:c>
      <x:c r="L44" s="18" t="n">
        <x:v>0</x:v>
      </x:c>
      <x:c r="M44" s="18" t="n">
        <x:v>0</x:v>
      </x:c>
      <x:c r="N44" s="18" t="n">
        <x:v>3</x:v>
      </x:c>
    </x:row>
    <x:row r="45" ht="39.599998474121094" hidden="0" customHeight="1">
      <x:c r="A45" s="18" t="str">
        <x:v>S44</x:v>
      </x:c>
      <x:c r="B45" s="18" t="str">
        <x:v>SF44</x:v>
      </x:c>
      <x:c r="C45" s="18" t="n">
        <x:v>2003</x:v>
      </x:c>
      <x:c r="D45" s="18" t="str">
        <x:v>Irrigation / water management</x:v>
      </x:c>
      <x:c r="E45" s="18" t="str">
        <x:v>Return to the field to validate behavioural assumptions with farmers/stakeholders; improve farmer income-use/land-exchange behaviour and hydrogeological parameters; socially validate implemented behaviours; test transfer to other groundwater systems.</x:v>
      </x:c>
      <x:c r="F45" s="18" t="n">
        <x:v>1</x:v>
      </x:c>
      <x:c r="G45" s="18" t="n">
        <x:v>1</x:v>
      </x:c>
      <x:c r="H45" s="18" t="n">
        <x:v>1</x:v>
      </x:c>
      <x:c r="I45" s="18" t="n">
        <x:v>0</x:v>
      </x:c>
      <x:c r="J45" s="18" t="n">
        <x:v>0</x:v>
      </x:c>
      <x:c r="K45" s="18" t="n">
        <x:v>1</x:v>
      </x:c>
      <x:c r="L45" s="18" t="n">
        <x:v>0</x:v>
      </x:c>
      <x:c r="M45" s="18" t="n">
        <x:v>0</x:v>
      </x:c>
      <x:c r="N45" s="18" t="n">
        <x:v>4</x:v>
      </x:c>
    </x:row>
    <x:row r="46" ht="26.399999618530273" hidden="0" customHeight="1">
      <x:c r="A46" s="18" t="str">
        <x:v>S45</x:v>
      </x:c>
      <x:c r="B46" s="18" t="str">
        <x:v>SF45</x:v>
      </x:c>
      <x:c r="C46" s="18" t="n">
        <x:v>2003</x:v>
      </x:c>
      <x:c r="D46" s="18" t="str">
        <x:v>Irrigation / water management</x:v>
      </x:c>
      <x:c r="E46" s="18" t="str">
        <x:v>Strengthen direct stakeholder authentication of social/decision rules, expand scenario exploration and use participatory simulation/negotiation to refine future management alternatives.</x:v>
      </x:c>
      <x:c r="F46" s="18" t="n">
        <x:v>1</x:v>
      </x:c>
      <x:c r="G46" s="18" t="n">
        <x:v>1</x:v>
      </x:c>
      <x:c r="H46" s="18" t="n">
        <x:v>0</x:v>
      </x:c>
      <x:c r="I46" s="18" t="n">
        <x:v>0</x:v>
      </x:c>
      <x:c r="J46" s="18" t="n">
        <x:v>0</x:v>
      </x:c>
      <x:c r="K46" s="18" t="n">
        <x:v>0</x:v>
      </x:c>
      <x:c r="L46" s="18" t="n">
        <x:v>0</x:v>
      </x:c>
      <x:c r="M46" s="18" t="n">
        <x:v>1</x:v>
      </x:c>
      <x:c r="N46" s="18" t="n">
        <x:v>3</x:v>
      </x:c>
    </x:row>
    <x:row r="47" ht="39.599998474121094" hidden="0" customHeight="1">
      <x:c r="A47" s="18" t="str">
        <x:v>S46</x:v>
      </x:c>
      <x:c r="B47" s="18" t="str">
        <x:v>SF46</x:v>
      </x:c>
      <x:c r="C47" s="18" t="n">
        <x:v>2004</x:v>
      </x:c>
      <x:c r="D47" s="18" t="str">
        <x:v>Irrigation / water management</x:v>
      </x:c>
      <x:c r="E47" s="18" t="str">
        <x:v>Carry out external/field validation and legitimacy assessment; use simulation-generated hypotheses to guide new thematic field research; further investigate rule configurations and controls that keep systems on viable trajectories.</x:v>
      </x:c>
      <x:c r="F47" s="18" t="n">
        <x:v>1</x:v>
      </x:c>
      <x:c r="G47" s="18" t="n">
        <x:v>1</x:v>
      </x:c>
      <x:c r="H47" s="18" t="n">
        <x:v>0</x:v>
      </x:c>
      <x:c r="I47" s="18" t="n">
        <x:v>0</x:v>
      </x:c>
      <x:c r="J47" s="18" t="n">
        <x:v>0</x:v>
      </x:c>
      <x:c r="K47" s="18" t="n">
        <x:v>0</x:v>
      </x:c>
      <x:c r="L47" s="18" t="n">
        <x:v>0</x:v>
      </x:c>
      <x:c r="M47" s="18" t="n">
        <x:v>1</x:v>
      </x:c>
      <x:c r="N47" s="18" t="n">
        <x:v>3</x:v>
      </x:c>
    </x:row>
    <x:row r="48" ht="26.399999618530273" hidden="0" customHeight="1">
      <x:c r="A48" s="18" t="str">
        <x:v>S47</x:v>
      </x:c>
      <x:c r="B48" s="18" t="str">
        <x:v>SF47</x:v>
      </x:c>
      <x:c r="C48" s="18" t="n">
        <x:v>2007</x:v>
      </x:c>
      <x:c r="D48" s="18" t="str">
        <x:v>Soil / nutrient / environmental management</x:v>
      </x:c>
      <x:c r="E48" s="18" t="str">
        <x:v>Compare alternative price conditions; incorporate soil-conservation measures and additional uncertainty; strengthen longitudinal/dynamic validation when historical data become available.</x:v>
      </x:c>
      <x:c r="F48" s="18" t="n">
        <x:v>1</x:v>
      </x:c>
      <x:c r="G48" s="18" t="n">
        <x:v>0</x:v>
      </x:c>
      <x:c r="H48" s="18" t="n">
        <x:v>1</x:v>
      </x:c>
      <x:c r="I48" s="18" t="n">
        <x:v>0</x:v>
      </x:c>
      <x:c r="J48" s="18" t="n">
        <x:v>0</x:v>
      </x:c>
      <x:c r="K48" s="18" t="n">
        <x:v>1</x:v>
      </x:c>
      <x:c r="L48" s="18" t="n">
        <x:v>0</x:v>
      </x:c>
      <x:c r="M48" s="18" t="n">
        <x:v>0</x:v>
      </x:c>
      <x:c r="N48" s="18" t="n">
        <x:v>3</x:v>
      </x:c>
    </x:row>
    <x:row r="49" ht="39.599998474121094" hidden="0" customHeight="1">
      <x:c r="A49" s="18" t="str">
        <x:v>S48</x:v>
      </x:c>
      <x:c r="B49" s="18" t="str">
        <x:v>SF48</x:v>
      </x:c>
      <x:c r="C49" s="18" t="n">
        <x:v>2025</x:v>
      </x:c>
      <x:c r="D49" s="18" t="str">
        <x:v>Irrigation / water management</x:v>
      </x:c>
      <x:c r="E49" s="18" t="str">
        <x:v>Test alternative profit-redistribution criteria; study long-term sustainability and behavioural effects; improve psychological/behavioural estimation; add reinforcement-learning adaptation, water-quality dimensions, and negotiation/bargaining or coalition formation.</x:v>
      </x:c>
      <x:c r="F49" s="18" t="n">
        <x:v>0</x:v>
      </x:c>
      <x:c r="G49" s="18" t="n">
        <x:v>1</x:v>
      </x:c>
      <x:c r="H49" s="18" t="n">
        <x:v>1</x:v>
      </x:c>
      <x:c r="I49" s="18" t="n">
        <x:v>1</x:v>
      </x:c>
      <x:c r="J49" s="18" t="n">
        <x:v>0</x:v>
      </x:c>
      <x:c r="K49" s="18" t="n">
        <x:v>1</x:v>
      </x:c>
      <x:c r="L49" s="18" t="n">
        <x:v>1</x:v>
      </x:c>
      <x:c r="M49" s="18" t="n">
        <x:v>1</x:v>
      </x:c>
      <x:c r="N49" s="18" t="n">
        <x:v>6</x:v>
      </x:c>
    </x:row>
    <x:row r="50" ht="39.599998474121094" hidden="0" customHeight="1">
      <x:c r="A50" s="18" t="str">
        <x:v>S49</x:v>
      </x:c>
      <x:c r="B50" s="18" t="str">
        <x:v>SF49</x:v>
      </x:c>
      <x:c r="C50" s="18" t="n">
        <x:v>2022</x:v>
      </x:c>
      <x:c r="D50" s="18" t="str">
        <x:v>Irrigation / water management</x:v>
      </x:c>
      <x:c r="E50" s="18" t="str">
        <x:v>Perform broader sensitivity analysis; compare MPC recommendations with historical farm practices; develop sensing/state-estimation agents and test the framework operationally under real farm conditions.</x:v>
      </x:c>
      <x:c r="F50" s="18" t="n">
        <x:v>1</x:v>
      </x:c>
      <x:c r="G50" s="18" t="n">
        <x:v>0</x:v>
      </x:c>
      <x:c r="H50" s="18" t="n">
        <x:v>1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4</x:v>
      </x:c>
    </x:row>
    <x:row r="51" ht="26.399999618530273" hidden="0" customHeight="1">
      <x:c r="A51" s="18" t="str">
        <x:v>S50</x:v>
      </x:c>
      <x:c r="B51" s="18" t="str">
        <x:v>SF50</x:v>
      </x:c>
      <x:c r="C51" s="18" t="n">
        <x:v>2023</x:v>
      </x:c>
      <x:c r="D51" s="18" t="str">
        <x:v>Workforce / robotics / task allocation</x:v>
      </x:c>
      <x:c r="E51" s="18" t="str">
        <x:v>Improve algorithm performance; test additional methods and more realistic scenarios; integrate true field-route planning, collision-free transfers and a complete unmanned-farm scheduling system.</x:v>
      </x:c>
      <x:c r="F51" s="18" t="n">
        <x:v>0</x:v>
      </x:c>
      <x:c r="G51" s="18" t="n">
        <x:v>0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3</x:v>
      </x:c>
    </x:row>
    <x:row r="52" ht="39.599998474121094" hidden="0" customHeight="1">
      <x:c r="A52" s="18" t="str">
        <x:v>S51</x:v>
      </x:c>
      <x:c r="B52" s="18" t="str">
        <x:v>SF51</x:v>
      </x:c>
      <x:c r="C52" s="18" t="n">
        <x:v>2021</x:v>
      </x:c>
      <x:c r="D52" s="18" t="str">
        <x:v>Livestock / integrated farming</x:v>
      </x:c>
      <x:c r="E52" s="18" t="str">
        <x:v>Add livestock and nutrient/emissions dynamics and broader environmental indicators; test climate/economic sensitivity; replicate in other social contexts and larger territories; study contracts, transaction costs and farmer collaboration.</x:v>
      </x:c>
      <x:c r="F52" s="18" t="n">
        <x:v>0</x:v>
      </x:c>
      <x:c r="G52" s="18" t="n">
        <x:v>1</x:v>
      </x:c>
      <x:c r="H52" s="18" t="n">
        <x:v>1</x:v>
      </x:c>
      <x:c r="I52" s="18" t="n">
        <x:v>0</x:v>
      </x:c>
      <x:c r="J52" s="18" t="n">
        <x:v>0</x:v>
      </x:c>
      <x:c r="K52" s="18" t="n">
        <x:v>1</x:v>
      </x:c>
      <x:c r="L52" s="18" t="n">
        <x:v>1</x:v>
      </x:c>
      <x:c r="M52" s="18" t="n">
        <x:v>1</x:v>
      </x:c>
      <x:c r="N52" s="18" t="n">
        <x:v>5</x:v>
      </x:c>
    </x:row>
    <x:row r="53" ht="39.599998474121094" hidden="0" customHeight="1">
      <x:c r="A53" s="18" t="str">
        <x:v>S52</x:v>
      </x:c>
      <x:c r="B53" s="18" t="str">
        <x:v>SF42</x:v>
      </x:c>
      <x:c r="C53" s="18" t="n">
        <x:v>2024</x:v>
      </x:c>
      <x:c r="D53" s="18" t="str">
        <x:v>Energy / WEF nexus</x:v>
      </x:c>
      <x:c r="E53" s="18" t="str">
        <x:v>Extend MAELIA to full operational WEF dynamics; model energy installations' effects on water and yields; incorporate agricultural subsidies and broader social indicators; improve regional optimisation/approximation and stakeholder-grounded decision support.</x:v>
      </x:c>
      <x:c r="F53" s="18" t="n">
        <x:v>0</x:v>
      </x:c>
      <x:c r="G53" s="18" t="n">
        <x:v>1</x:v>
      </x:c>
      <x:c r="H53" s="18" t="n">
        <x:v>0</x:v>
      </x:c>
      <x:c r="I53" s="18" t="n">
        <x:v>0</x:v>
      </x:c>
      <x:c r="J53" s="18" t="n">
        <x:v>1</x:v>
      </x:c>
      <x:c r="K53" s="18" t="n">
        <x:v>1</x:v>
      </x:c>
      <x:c r="L53" s="18" t="n">
        <x:v>1</x:v>
      </x:c>
      <x:c r="M53" s="18" t="n">
        <x:v>0</x:v>
      </x:c>
      <x:c r="N53" s="18" t="n">
        <x:v>4</x:v>
      </x:c>
    </x:row>
    <x:row r="54" ht="26.399999618530273" hidden="0" customHeight="1">
      <x:c r="A54" s="18" t="str">
        <x:v>S53</x:v>
      </x:c>
      <x:c r="B54" s="18" t="str">
        <x:v>SF49</x:v>
      </x:c>
      <x:c r="C54" s="18" t="n">
        <x:v>2019</x:v>
      </x:c>
      <x:c r="D54" s="18" t="str">
        <x:v>Irrigation / water management</x:v>
      </x:c>
      <x:c r="E54" s="18" t="str">
        <x:v>Develop state observers/sensing; analyse sensitivity to cost/model parameters; add travel/inventory constraints; investigate more efficient or distributed optimisation and real-farm validation.</x:v>
      </x:c>
      <x:c r="F54" s="18" t="n">
        <x:v>1</x:v>
      </x:c>
      <x:c r="G54" s="18" t="n">
        <x:v>0</x:v>
      </x:c>
      <x:c r="H54" s="18" t="n">
        <x:v>1</x:v>
      </x:c>
      <x:c r="I54" s="18" t="n">
        <x:v>0</x:v>
      </x:c>
      <x:c r="J54" s="18" t="n">
        <x:v>1</x:v>
      </x:c>
      <x:c r="K54" s="18" t="n">
        <x:v>0</x:v>
      </x:c>
      <x:c r="L54" s="18" t="n">
        <x:v>0</x:v>
      </x:c>
      <x:c r="M54" s="18" t="n">
        <x:v>1</x:v>
      </x:c>
      <x:c r="N54" s="18" t="n">
        <x:v>4</x:v>
      </x:c>
    </x:row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F2:M54">
    <x:cfRule type="colorScale" priority="1">
      <x:colorScale>
        <x:cfvo type="min"/>
        <x:cfvo type="percentile" val="50"/>
        <x:cfvo type="max"/>
        <x:color rgb="FFFFFFFF"/>
        <x:color rgb="FFDCE6EF"/>
        <x:color rgb="FF5A8DB0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9" max="19" width="10" hidden="0" customWidth="1"/>
    <x:col min="20" max="20" width="52" hidden="0" customWidth="1"/>
  </x:cols>
  <x:sheetData>
    <x:row r="1" ht="26.399999618530273" hidden="0" customHeight="1">
      <x:c r="A1" s="12" t="str">
        <x:v>Study_Family_ID</x:v>
      </x:c>
      <x:c r="B1" s="12" t="str">
        <x:v>Member_Studies</x:v>
      </x:c>
      <x:c r="C1" s="12" t="str">
        <x:v>Publication_Count</x:v>
      </x:c>
      <x:c r="D1" s="12" t="str">
        <x:v>D1</x:v>
      </x:c>
      <x:c r="E1" s="12" t="str">
        <x:v>D2</x:v>
      </x:c>
      <x:c r="F1" s="12" t="str">
        <x:v>D3</x:v>
      </x:c>
      <x:c r="G1" s="12" t="str">
        <x:v>D4</x:v>
      </x:c>
      <x:c r="H1" s="12" t="str">
        <x:v>D5</x:v>
      </x:c>
      <x:c r="I1" s="12" t="str">
        <x:v>D6</x:v>
      </x:c>
      <x:c r="J1" s="12" t="str">
        <x:v>G1</x:v>
      </x:c>
      <x:c r="K1" s="12" t="str">
        <x:v>G2</x:v>
      </x:c>
      <x:c r="L1" s="12" t="str">
        <x:v>G3</x:v>
      </x:c>
      <x:c r="M1" s="12" t="str">
        <x:v>G4</x:v>
      </x:c>
      <x:c r="N1" s="12" t="str">
        <x:v>G5</x:v>
      </x:c>
      <x:c r="O1" s="12" t="str">
        <x:v>G6</x:v>
      </x:c>
      <x:c r="P1" s="12" t="str">
        <x:v>G7</x:v>
      </x:c>
      <x:c r="Q1" s="12" t="str">
        <x:v>G8</x:v>
      </x:c>
      <x:c r="S1" s="12" t="str">
        <x:v>Code</x:v>
      </x:c>
      <x:c r="T1" s="12" t="str">
        <x:v>Meaning</x:v>
      </x:c>
    </x:row>
    <x:row r="2" ht="15" hidden="0" customHeight="1">
      <x:c r="A2" s="18" t="str">
        <x:v>SF01</x:v>
      </x:c>
      <x:c r="B2" s="18" t="str">
        <x:v>S01</x:v>
      </x:c>
      <x:c r="C2" s="18" t="n">
        <x:v>1</x:v>
      </x:c>
      <x:c r="D2" s="18" t="n">
        <x:v>0</x:v>
      </x:c>
      <x:c r="E2" s="18" t="n">
        <x:v>0</x:v>
      </x:c>
      <x:c r="F2" s="18" t="n">
        <x:v>1</x:v>
      </x:c>
      <x:c r="G2" s="18" t="n">
        <x:v>0</x:v>
      </x:c>
      <x:c r="H2" s="18" t="n">
        <x:v>0</x:v>
      </x:c>
      <x:c r="I2" s="18" t="n">
        <x:v>0</x:v>
      </x:c>
      <x:c r="J2" s="18" t="n">
        <x:v>0</x:v>
      </x:c>
      <x:c r="K2" s="18" t="n">
        <x:v>1</x:v>
      </x:c>
      <x:c r="L2" s="18" t="n">
        <x:v>0</x:v>
      </x:c>
      <x:c r="M2" s="18" t="n">
        <x:v>0</x:v>
      </x:c>
      <x:c r="N2" s="18" t="n">
        <x:v>0</x:v>
      </x:c>
      <x:c r="O2" s="18" t="n">
        <x:v>0</x:v>
      </x:c>
      <x:c r="P2" s="18" t="n">
        <x:v>0</x:v>
      </x:c>
      <x:c r="Q2" s="18" t="n">
        <x:v>0</x:v>
      </x:c>
      <x:c r="S2" s="18" t="str">
        <x:v>D1</x:v>
      </x:c>
      <x:c r="T2" s="18" t="str">
        <x:v>Irrigation / water management</x:v>
      </x:c>
    </x:row>
    <x:row r="3" ht="15" hidden="0" customHeight="1">
      <x:c r="A3" s="18" t="str">
        <x:v>SF02</x:v>
      </x:c>
      <x:c r="B3" s="18" t="str">
        <x:v>S02</x:v>
      </x:c>
      <x:c r="C3" s="18" t="n">
        <x:v>1</x:v>
      </x:c>
      <x:c r="D3" s="18" t="n">
        <x:v>0</x:v>
      </x:c>
      <x:c r="E3" s="18" t="n">
        <x:v>1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0</x:v>
      </x:c>
      <x:c r="O3" s="18" t="n">
        <x:v>0</x:v>
      </x:c>
      <x:c r="P3" s="18" t="n">
        <x:v>0</x:v>
      </x:c>
      <x:c r="Q3" s="18" t="n">
        <x:v>1</x:v>
      </x:c>
      <x:c r="S3" s="18" t="str">
        <x:v>D2</x:v>
      </x:c>
      <x:c r="T3" s="18" t="str">
        <x:v>Crop / farm management</x:v>
      </x:c>
    </x:row>
    <x:row r="4" ht="15" hidden="0" customHeight="1">
      <x:c r="A4" s="18" t="str">
        <x:v>SF03</x:v>
      </x:c>
      <x:c r="B4" s="18" t="str">
        <x:v>S03</x:v>
      </x:c>
      <x:c r="C4" s="18" t="n">
        <x:v>1</x:v>
      </x:c>
      <x:c r="D4" s="18" t="n">
        <x:v>0</x:v>
      </x:c>
      <x:c r="E4" s="18" t="n">
        <x:v>1</x:v>
      </x:c>
      <x:c r="F4" s="18" t="n">
        <x:v>0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v>0</x:v>
      </x:c>
      <x:c r="L4" s="18" t="n">
        <x:v>1</x:v>
      </x:c>
      <x:c r="M4" s="18" t="n">
        <x:v>0</x:v>
      </x:c>
      <x:c r="N4" s="18" t="n">
        <x:v>0</x:v>
      </x:c>
      <x:c r="O4" s="18" t="n">
        <x:v>1</x:v>
      </x:c>
      <x:c r="P4" s="18" t="n">
        <x:v>0</x:v>
      </x:c>
      <x:c r="Q4" s="18" t="n">
        <x:v>0</x:v>
      </x:c>
      <x:c r="S4" s="18" t="str">
        <x:v>D3</x:v>
      </x:c>
      <x:c r="T4" s="18" t="str">
        <x:v>Livestock / integrated farming</x:v>
      </x:c>
    </x:row>
    <x:row r="5" ht="15" hidden="0" customHeight="1">
      <x:c r="A5" s="18" t="str">
        <x:v>SF04</x:v>
      </x:c>
      <x:c r="B5" s="18" t="str">
        <x:v>S04</x:v>
      </x:c>
      <x:c r="C5" s="18" t="n">
        <x:v>1</x:v>
      </x:c>
      <x:c r="D5" s="18" t="n">
        <x:v>0</x:v>
      </x:c>
      <x:c r="E5" s="18" t="n">
        <x:v>0</x:v>
      </x:c>
      <x:c r="F5" s="18" t="n">
        <x:v>1</x:v>
      </x:c>
      <x:c r="G5" s="18" t="n">
        <x:v>0</x:v>
      </x:c>
      <x:c r="H5" s="18" t="n">
        <x:v>0</x:v>
      </x:c>
      <x:c r="I5" s="18" t="n">
        <x:v>0</x:v>
      </x:c>
      <x:c r="J5" s="18" t="n">
        <x:v>1</x:v>
      </x:c>
      <x:c r="K5" s="18" t="n">
        <x:v>1</x:v>
      </x:c>
      <x:c r="L5" s="18" t="n">
        <x:v>1</x:v>
      </x:c>
      <x:c r="M5" s="18" t="n">
        <x:v>0</x:v>
      </x:c>
      <x:c r="N5" s="18" t="n">
        <x:v>1</x:v>
      </x:c>
      <x:c r="O5" s="18" t="n">
        <x:v>1</x:v>
      </x:c>
      <x:c r="P5" s="18" t="n">
        <x:v>0</x:v>
      </x:c>
      <x:c r="Q5" s="18" t="n">
        <x:v>0</x:v>
      </x:c>
      <x:c r="S5" s="18" t="str">
        <x:v>D4</x:v>
      </x:c>
      <x:c r="T5" s="18" t="str">
        <x:v>Workforce / robotics / task allocation</x:v>
      </x:c>
    </x:row>
    <x:row r="6" ht="15" hidden="0" customHeight="1">
      <x:c r="A6" s="18" t="str">
        <x:v>SF05</x:v>
      </x:c>
      <x:c r="B6" s="18" t="str">
        <x:v>S05; S11; S29</x:v>
      </x:c>
      <x:c r="C6" s="18" t="n">
        <x:v>3</x:v>
      </x:c>
      <x:c r="D6" s="18" t="n">
        <x:v>0</x:v>
      </x:c>
      <x:c r="E6" s="18" t="n">
        <x:v>0</x:v>
      </x:c>
      <x:c r="F6" s="18" t="n">
        <x:v>0</x:v>
      </x:c>
      <x:c r="G6" s="18" t="n">
        <x:v>0</x:v>
      </x:c>
      <x:c r="H6" s="18" t="n">
        <x:v>1</x:v>
      </x:c>
      <x:c r="I6" s="18" t="n">
        <x:v>0</x:v>
      </x:c>
      <x:c r="J6" s="18" t="n">
        <x:v>1</x:v>
      </x:c>
      <x:c r="K6" s="18" t="n">
        <x:v>1</x:v>
      </x:c>
      <x:c r="L6" s="18" t="n">
        <x:v>1</x:v>
      </x:c>
      <x:c r="M6" s="18" t="n">
        <x:v>0</x:v>
      </x:c>
      <x:c r="N6" s="18" t="n">
        <x:v>1</x:v>
      </x:c>
      <x:c r="O6" s="18" t="n">
        <x:v>1</x:v>
      </x:c>
      <x:c r="P6" s="18" t="n">
        <x:v>0</x:v>
      </x:c>
      <x:c r="Q6" s="18" t="n">
        <x:v>1</x:v>
      </x:c>
      <x:c r="S6" s="18" t="str">
        <x:v>D5</x:v>
      </x:c>
      <x:c r="T6" s="18" t="str">
        <x:v>Energy / WEF nexus</x:v>
      </x:c>
    </x:row>
    <x:row r="7" ht="15" hidden="0" customHeight="1">
      <x:c r="A7" s="18" t="str">
        <x:v>SF06</x:v>
      </x:c>
      <x:c r="B7" s="18" t="str">
        <x:v>S06</x:v>
      </x:c>
      <x:c r="C7" s="18" t="n">
        <x:v>1</x:v>
      </x:c>
      <x:c r="D7" s="18" t="n">
        <x:v>1</x:v>
      </x:c>
      <x:c r="E7" s="18" t="n">
        <x:v>0</x:v>
      </x:c>
      <x:c r="F7" s="18" t="n">
        <x:v>0</x:v>
      </x:c>
      <x:c r="G7" s="18" t="n">
        <x:v>0</x:v>
      </x:c>
      <x:c r="H7" s="18" t="n">
        <x:v>0</x:v>
      </x:c>
      <x:c r="I7" s="18" t="n">
        <x:v>0</x:v>
      </x:c>
      <x:c r="J7" s="18" t="n">
        <x:v>1</x:v>
      </x:c>
      <x:c r="K7" s="18" t="n">
        <x:v>0</x:v>
      </x:c>
      <x:c r="L7" s="18" t="n">
        <x:v>1</x:v>
      </x:c>
      <x:c r="M7" s="18" t="n">
        <x:v>0</x:v>
      </x:c>
      <x:c r="N7" s="18" t="n">
        <x:v>0</x:v>
      </x:c>
      <x:c r="O7" s="18" t="n">
        <x:v>1</x:v>
      </x:c>
      <x:c r="P7" s="18" t="n">
        <x:v>1</x:v>
      </x:c>
      <x:c r="Q7" s="18" t="n">
        <x:v>0</x:v>
      </x:c>
      <x:c r="S7" s="18" t="str">
        <x:v>D6</x:v>
      </x:c>
      <x:c r="T7" s="18" t="str">
        <x:v>Soil / nutrient / environmental management</x:v>
      </x:c>
    </x:row>
    <x:row r="8" ht="15" hidden="0" customHeight="1">
      <x:c r="A8" s="18" t="str">
        <x:v>SF07</x:v>
      </x:c>
      <x:c r="B8" s="18" t="str">
        <x:v>S07</x:v>
      </x:c>
      <x:c r="C8" s="18" t="n">
        <x:v>1</x:v>
      </x:c>
      <x:c r="D8" s="18" t="n">
        <x:v>1</x:v>
      </x:c>
      <x:c r="E8" s="18" t="n">
        <x:v>0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n">
        <x:v>1</x:v>
      </x:c>
      <x:c r="M8" s="18" t="n">
        <x:v>0</x:v>
      </x:c>
      <x:c r="N8" s="18" t="n">
        <x:v>1</x:v>
      </x:c>
      <x:c r="O8" s="18" t="n">
        <x:v>0</x:v>
      </x:c>
      <x:c r="P8" s="18" t="n">
        <x:v>0</x:v>
      </x:c>
      <x:c r="Q8" s="18" t="n">
        <x:v>1</x:v>
      </x:c>
      <x:c r="S8" s="18" t="str">
        <x:v>G1</x:v>
      </x:c>
      <x:c r="T8" s="18" t="str">
        <x:v>Field, operational and longitudinal validation</x:v>
      </x:c>
    </x:row>
    <x:row r="9" ht="15" hidden="0" customHeight="1">
      <x:c r="A9" s="18" t="str">
        <x:v>SF08</x:v>
      </x:c>
      <x:c r="B9" s="18" t="str">
        <x:v>S08; S23</x:v>
      </x:c>
      <x:c r="C9" s="18" t="n">
        <x:v>2</x:v>
      </x:c>
      <x:c r="D9" s="18" t="n">
        <x:v>1</x:v>
      </x:c>
      <x:c r="E9" s="18" t="n">
        <x:v>0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n">
        <x:v>1</x:v>
      </x:c>
      <x:c r="M9" s="18" t="n">
        <x:v>0</x:v>
      </x:c>
      <x:c r="N9" s="18" t="n">
        <x:v>1</x:v>
      </x:c>
      <x:c r="O9" s="18" t="n">
        <x:v>0</x:v>
      </x:c>
      <x:c r="P9" s="18" t="n">
        <x:v>0</x:v>
      </x:c>
      <x:c r="Q9" s="18" t="n">
        <x:v>1</x:v>
      </x:c>
      <x:c r="S9" s="18" t="str">
        <x:v>G2</x:v>
      </x:c>
      <x:c r="T9" s="18" t="str">
        <x:v>Behavioural, stakeholder and social validity</x:v>
      </x:c>
    </x:row>
    <x:row r="10" ht="15" hidden="0" customHeight="1">
      <x:c r="A10" s="18" t="str">
        <x:v>SF09</x:v>
      </x:c>
      <x:c r="B10" s="18" t="str">
        <x:v>S09</x:v>
      </x:c>
      <x:c r="C10" s="18" t="n">
        <x:v>1</x:v>
      </x:c>
      <x:c r="D10" s="18" t="n">
        <x:v>0</x:v>
      </x:c>
      <x:c r="E10" s="18" t="n">
        <x:v>0</x:v>
      </x:c>
      <x:c r="F10" s="18" t="n">
        <x:v>0</x:v>
      </x:c>
      <x:c r="G10" s="18" t="n">
        <x:v>0</x:v>
      </x:c>
      <x:c r="H10" s="18" t="n">
        <x:v>1</x:v>
      </x:c>
      <x:c r="I10" s="18" t="n">
        <x:v>0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0</x:v>
      </x:c>
      <x:c r="O10" s="18" t="n">
        <x:v>1</x:v>
      </x:c>
      <x:c r="P10" s="18" t="n">
        <x:v>1</x:v>
      </x:c>
      <x:c r="Q10" s="18" t="n">
        <x:v>0</x:v>
      </x:c>
      <x:c r="S10" s="18" t="str">
        <x:v>G3</x:v>
      </x:c>
      <x:c r="T10" s="18" t="str">
        <x:v>Robustness, uncertainty and transferability</x:v>
      </x:c>
    </x:row>
    <x:row r="11" ht="15" hidden="0" customHeight="1">
      <x:c r="A11" s="18" t="str">
        <x:v>SF10</x:v>
      </x:c>
      <x:c r="B11" s="18" t="str">
        <x:v>S10</x:v>
      </x:c>
      <x:c r="C11" s="18" t="n">
        <x:v>1</x:v>
      </x:c>
      <x:c r="D11" s="18" t="n">
        <x:v>0</x:v>
      </x:c>
      <x:c r="E11" s="18" t="n">
        <x:v>0</x:v>
      </x:c>
      <x:c r="F11" s="18" t="n">
        <x:v>1</x:v>
      </x:c>
      <x:c r="G11" s="18" t="n">
        <x:v>0</x:v>
      </x:c>
      <x:c r="H11" s="18" t="n">
        <x:v>0</x:v>
      </x:c>
      <x:c r="I11" s="18" t="n">
        <x:v>0</x:v>
      </x:c>
      <x:c r="J11" s="18" t="n">
        <x:v>0</x:v>
      </x:c>
      <x:c r="K11" s="18" t="n">
        <x:v>1</x:v>
      </x:c>
      <x:c r="L11" s="18" t="n">
        <x:v>1</x:v>
      </x:c>
      <x:c r="M11" s="18" t="n">
        <x:v>0</x:v>
      </x:c>
      <x:c r="N11" s="18" t="n">
        <x:v>1</x:v>
      </x:c>
      <x:c r="O11" s="18" t="n">
        <x:v>1</x:v>
      </x:c>
      <x:c r="P11" s="18" t="n">
        <x:v>1</x:v>
      </x:c>
      <x:c r="Q11" s="18" t="n">
        <x:v>1</x:v>
      </x:c>
      <x:c r="S11" s="18" t="str">
        <x:v>G4</x:v>
      </x:c>
      <x:c r="T11" s="18" t="str">
        <x:v>Comparative evaluation and alternative mechanisms</x:v>
      </x:c>
    </x:row>
    <x:row r="12" ht="15" hidden="0" customHeight="1">
      <x:c r="A12" s="18" t="str">
        <x:v>SF12</x:v>
      </x:c>
      <x:c r="B12" s="18" t="str">
        <x:v>S12</x:v>
      </x:c>
      <x:c r="C12" s="18" t="n">
        <x:v>1</x:v>
      </x:c>
      <x:c r="D12" s="18" t="n">
        <x:v>0</x:v>
      </x:c>
      <x:c r="E12" s="18" t="n">
        <x:v>0</x:v>
      </x:c>
      <x:c r="F12" s="18" t="n">
        <x:v>0</x:v>
      </x:c>
      <x:c r="G12" s="18" t="n">
        <x:v>0</x:v>
      </x:c>
      <x:c r="H12" s="18" t="n">
        <x:v>0</x:v>
      </x:c>
      <x:c r="I12" s="18" t="n">
        <x:v>1</x:v>
      </x:c>
      <x:c r="J12" s="18" t="n">
        <x:v>1</x:v>
      </x:c>
      <x:c r="K12" s="18" t="n">
        <x:v>1</x:v>
      </x:c>
      <x:c r="L12" s="18" t="n">
        <x:v>1</x:v>
      </x:c>
      <x:c r="M12" s="18" t="n">
        <x:v>0</x:v>
      </x:c>
      <x:c r="N12" s="18" t="n">
        <x:v>1</x:v>
      </x:c>
      <x:c r="O12" s="18" t="n">
        <x:v>1</x:v>
      </x:c>
      <x:c r="P12" s="18" t="n">
        <x:v>0</x:v>
      </x:c>
      <x:c r="Q12" s="18" t="n">
        <x:v>0</x:v>
      </x:c>
      <x:c r="S12" s="18" t="str">
        <x:v>G5</x:v>
      </x:c>
      <x:c r="T12" s="18" t="str">
        <x:v>Scalability, sensing, computation and real-time operation</x:v>
      </x:c>
    </x:row>
    <x:row r="13" ht="15" hidden="0" customHeight="1">
      <x:c r="A13" s="18" t="str">
        <x:v>SF13</x:v>
      </x:c>
      <x:c r="B13" s="18" t="str">
        <x:v>S13; S22</x:v>
      </x:c>
      <x:c r="C13" s="18" t="n">
        <x:v>2</x:v>
      </x:c>
      <x:c r="D13" s="18" t="n">
        <x:v>1</x:v>
      </x:c>
      <x:c r="E13" s="18" t="n">
        <x:v>0</x:v>
      </x:c>
      <x:c r="F13" s="18" t="n">
        <x:v>0</x:v>
      </x:c>
      <x:c r="G13" s="18" t="n">
        <x:v>0</x:v>
      </x:c>
      <x:c r="H13" s="18" t="n">
        <x:v>0</x:v>
      </x:c>
      <x:c r="I13" s="18" t="n">
        <x:v>0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0</x:v>
      </x:c>
      <x:c r="Q13" s="18" t="n">
        <x:v>0</x:v>
      </x:c>
      <x:c r="S13" s="18" t="str">
        <x:v>G6</x:v>
      </x:c>
      <x:c r="T13" s="18" t="str">
        <x:v>Biophysical/environmental realism and long-horizon sustainability</x:v>
      </x:c>
    </x:row>
    <x:row r="14" ht="15" hidden="0" customHeight="1">
      <x:c r="A14" s="18" t="str">
        <x:v>SF14</x:v>
      </x:c>
      <x:c r="B14" s="18" t="str">
        <x:v>S14</x:v>
      </x:c>
      <x:c r="C14" s="18" t="n">
        <x:v>1</x:v>
      </x:c>
      <x:c r="D14" s="18" t="n">
        <x:v>0</x:v>
      </x:c>
      <x:c r="E14" s="18" t="n">
        <x:v>0</x:v>
      </x:c>
      <x:c r="F14" s="18" t="n">
        <x:v>1</x:v>
      </x:c>
      <x:c r="G14" s="18" t="n">
        <x:v>0</x:v>
      </x:c>
      <x:c r="H14" s="18" t="n">
        <x:v>0</x:v>
      </x:c>
      <x:c r="I14" s="18" t="n">
        <x:v>0</x:v>
      </x:c>
      <x:c r="J14" s="18" t="n">
        <x:v>1</x:v>
      </x:c>
      <x:c r="K14" s="18" t="n">
        <x:v>1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0</x:v>
      </x:c>
      <x:c r="S14" s="18" t="str">
        <x:v>G7</x:v>
      </x:c>
      <x:c r="T14" s="18" t="str">
        <x:v>Cross-domain, whole-farm and multi-resource integration</x:v>
      </x:c>
    </x:row>
    <x:row r="15" ht="15" hidden="0" customHeight="1">
      <x:c r="A15" s="18" t="str">
        <x:v>SF15</x:v>
      </x:c>
      <x:c r="B15" s="18" t="str">
        <x:v>S15</x:v>
      </x:c>
      <x:c r="C15" s="18" t="n">
        <x:v>1</x:v>
      </x:c>
      <x:c r="D15" s="18" t="n">
        <x:v>0</x:v>
      </x:c>
      <x:c r="E15" s="18" t="n">
        <x:v>0</x:v>
      </x:c>
      <x:c r="F15" s="18" t="n">
        <x:v>1</x:v>
      </x:c>
      <x:c r="G15" s="18" t="n">
        <x:v>0</x:v>
      </x:c>
      <x:c r="H15" s="18" t="n">
        <x:v>0</x:v>
      </x:c>
      <x:c r="I15" s="18" t="n">
        <x:v>0</x:v>
      </x:c>
      <x:c r="J15" s="18" t="n">
        <x:v>0</x:v>
      </x:c>
      <x:c r="K15" s="18" t="n">
        <x:v>0</x:v>
      </x:c>
      <x:c r="L15" s="18" t="n">
        <x:v>0</x:v>
      </x:c>
      <x:c r="M15" s="18" t="n">
        <x:v>0</x:v>
      </x:c>
      <x:c r="N15" s="18" t="n">
        <x:v>0</x:v>
      </x:c>
      <x:c r="O15" s="18" t="n">
        <x:v>0</x:v>
      </x:c>
      <x:c r="P15" s="18" t="n">
        <x:v>1</x:v>
      </x:c>
      <x:c r="Q15" s="18" t="n">
        <x:v>0</x:v>
      </x:c>
      <x:c r="S15" s="18" t="str">
        <x:v>G8</x:v>
      </x:c>
      <x:c r="T15" s="18" t="str">
        <x:v>Adaptive, distributed and institutionally realistic coordination</x:v>
      </x:c>
    </x:row>
    <x:row r="16" ht="15" hidden="0" customHeight="1">
      <x:c r="A16" s="18" t="str">
        <x:v>SF16</x:v>
      </x:c>
      <x:c r="B16" s="18" t="str">
        <x:v>S16; S20</x:v>
      </x:c>
      <x:c r="C16" s="18" t="n">
        <x:v>2</x:v>
      </x:c>
      <x:c r="D16" s="18" t="n">
        <x:v>1</x:v>
      </x:c>
      <x:c r="E16" s="18" t="n">
        <x:v>0</x:v>
      </x:c>
      <x:c r="F16" s="18" t="n">
        <x:v>0</x:v>
      </x:c>
      <x:c r="G16" s="18" t="n">
        <x:v>0</x:v>
      </x:c>
      <x:c r="H16" s="18" t="n">
        <x:v>0</x:v>
      </x:c>
      <x:c r="I16" s="18" t="n">
        <x:v>0</x:v>
      </x:c>
      <x:c r="J16" s="18" t="n">
        <x:v>0</x:v>
      </x:c>
      <x:c r="K16" s="18" t="n">
        <x:v>1</x:v>
      </x:c>
      <x:c r="L16" s="18" t="n">
        <x:v>1</x:v>
      </x:c>
      <x:c r="M16" s="18" t="n">
        <x:v>1</x:v>
      </x:c>
      <x:c r="N16" s="18" t="n">
        <x:v>0</x:v>
      </x:c>
      <x:c r="O16" s="18" t="n">
        <x:v>0</x:v>
      </x:c>
      <x:c r="P16" s="18" t="n">
        <x:v>0</x:v>
      </x:c>
      <x:c r="Q16" s="18" t="n">
        <x:v>1</x:v>
      </x:c>
    </x:row>
    <x:row r="17" ht="15" hidden="0" customHeight="1">
      <x:c r="A17" s="18" t="str">
        <x:v>SF17</x:v>
      </x:c>
      <x:c r="B17" s="18" t="str">
        <x:v>S17</x:v>
      </x:c>
      <x:c r="C17" s="18" t="n">
        <x:v>1</x:v>
      </x:c>
      <x:c r="D17" s="18" t="n">
        <x:v>0</x:v>
      </x:c>
      <x:c r="E17" s="18" t="n">
        <x:v>1</x:v>
      </x:c>
      <x:c r="F17" s="18" t="n">
        <x:v>0</x:v>
      </x:c>
      <x:c r="G17" s="18" t="n">
        <x:v>0</x:v>
      </x:c>
      <x:c r="H17" s="18" t="n">
        <x:v>0</x:v>
      </x:c>
      <x:c r="I17" s="18" t="n">
        <x:v>0</x:v>
      </x:c>
      <x:c r="J17" s="18" t="n">
        <x:v>0</x:v>
      </x:c>
      <x:c r="K17" s="18" t="n">
        <x:v>0</x:v>
      </x:c>
      <x:c r="L17" s="18" t="n">
        <x:v>1</x:v>
      </x:c>
      <x:c r="M17" s="18" t="n">
        <x:v>0</x:v>
      </x:c>
      <x:c r="N17" s="18" t="n">
        <x:v>0</x:v>
      </x:c>
      <x:c r="O17" s="18" t="n">
        <x:v>1</x:v>
      </x:c>
      <x:c r="P17" s="18" t="n">
        <x:v>1</x:v>
      </x:c>
      <x:c r="Q17" s="18" t="n">
        <x:v>0</x:v>
      </x:c>
    </x:row>
    <x:row r="18" ht="15" hidden="0" customHeight="1">
      <x:c r="A18" s="18" t="str">
        <x:v>SF18</x:v>
      </x:c>
      <x:c r="B18" s="18" t="str">
        <x:v>S18</x:v>
      </x:c>
      <x:c r="C18" s="18" t="n">
        <x:v>1</x:v>
      </x:c>
      <x:c r="D18" s="18" t="n">
        <x:v>0</x:v>
      </x:c>
      <x:c r="E18" s="18" t="n">
        <x:v>1</x:v>
      </x:c>
      <x:c r="F18" s="18" t="n">
        <x:v>0</x:v>
      </x:c>
      <x:c r="G18" s="18" t="n">
        <x:v>0</x:v>
      </x:c>
      <x:c r="H18" s="18" t="n">
        <x:v>0</x:v>
      </x:c>
      <x:c r="I18" s="18" t="n">
        <x:v>0</x:v>
      </x:c>
      <x:c r="J18" s="18" t="n">
        <x:v>1</x:v>
      </x:c>
      <x:c r="K18" s="18" t="n">
        <x:v>0</x:v>
      </x:c>
      <x:c r="L18" s="18" t="n">
        <x:v>1</x:v>
      </x:c>
      <x:c r="M18" s="18" t="n">
        <x:v>0</x:v>
      </x:c>
      <x:c r="N18" s="18" t="n">
        <x:v>1</x:v>
      </x:c>
      <x:c r="O18" s="18" t="n">
        <x:v>1</x:v>
      </x:c>
      <x:c r="P18" s="18" t="n">
        <x:v>1</x:v>
      </x:c>
      <x:c r="Q18" s="18" t="n">
        <x:v>0</x:v>
      </x:c>
    </x:row>
    <x:row r="19" ht="15" hidden="0" customHeight="1">
      <x:c r="A19" s="18" t="str">
        <x:v>SF19</x:v>
      </x:c>
      <x:c r="B19" s="18" t="str">
        <x:v>S19</x:v>
      </x:c>
      <x:c r="C19" s="18" t="n">
        <x:v>1</x:v>
      </x:c>
      <x:c r="D19" s="18" t="n">
        <x:v>0</x:v>
      </x:c>
      <x:c r="E19" s="18" t="n">
        <x:v>0</x:v>
      </x:c>
      <x:c r="F19" s="18" t="n">
        <x:v>0</x:v>
      </x:c>
      <x:c r="G19" s="18" t="n">
        <x:v>1</x:v>
      </x:c>
      <x:c r="H19" s="18" t="n">
        <x:v>0</x:v>
      </x:c>
      <x:c r="I19" s="18" t="n">
        <x:v>0</x:v>
      </x:c>
      <x:c r="J19" s="18" t="n">
        <x:v>0</x:v>
      </x:c>
      <x:c r="K19" s="18" t="n">
        <x:v>0</x:v>
      </x:c>
      <x:c r="L19" s="18" t="n">
        <x:v>1</x:v>
      </x:c>
      <x:c r="M19" s="18" t="n">
        <x:v>1</x:v>
      </x:c>
      <x:c r="N19" s="18" t="n">
        <x:v>1</x:v>
      </x:c>
      <x:c r="O19" s="18" t="n">
        <x:v>0</x:v>
      </x:c>
      <x:c r="P19" s="18" t="n">
        <x:v>0</x:v>
      </x:c>
      <x:c r="Q19" s="18" t="n">
        <x:v>0</x:v>
      </x:c>
    </x:row>
    <x:row r="20" ht="15" hidden="0" customHeight="1">
      <x:c r="A20" s="18" t="str">
        <x:v>SF21</x:v>
      </x:c>
      <x:c r="B20" s="18" t="str">
        <x:v>S21</x:v>
      </x:c>
      <x:c r="C20" s="18" t="n">
        <x:v>1</x:v>
      </x:c>
      <x:c r="D20" s="18" t="n">
        <x:v>1</x:v>
      </x:c>
      <x:c r="E20" s="18" t="n">
        <x:v>0</x:v>
      </x:c>
      <x:c r="F20" s="18" t="n">
        <x:v>0</x:v>
      </x:c>
      <x:c r="G20" s="18" t="n">
        <x:v>0</x:v>
      </x:c>
      <x:c r="H20" s="18" t="n">
        <x:v>0</x:v>
      </x:c>
      <x:c r="I20" s="18" t="n">
        <x:v>0</x:v>
      </x:c>
      <x:c r="J20" s="18" t="n">
        <x:v>1</x:v>
      </x:c>
      <x:c r="K20" s="18" t="n">
        <x:v>0</x:v>
      </x:c>
      <x:c r="L20" s="18" t="n">
        <x:v>1</x:v>
      </x:c>
      <x:c r="M20" s="18" t="n">
        <x:v>0</x:v>
      </x:c>
      <x:c r="N20" s="18" t="n">
        <x:v>1</x:v>
      </x:c>
      <x:c r="O20" s="18" t="n">
        <x:v>0</x:v>
      </x:c>
      <x:c r="P20" s="18" t="n">
        <x:v>0</x:v>
      </x:c>
      <x:c r="Q20" s="18" t="n">
        <x:v>0</x:v>
      </x:c>
    </x:row>
    <x:row r="21" ht="15" hidden="0" customHeight="1">
      <x:c r="A21" s="18" t="str">
        <x:v>SF24</x:v>
      </x:c>
      <x:c r="B21" s="18" t="str">
        <x:v>S24</x:v>
      </x:c>
      <x:c r="C21" s="18" t="n">
        <x:v>1</x:v>
      </x:c>
      <x:c r="D21" s="18" t="n">
        <x:v>1</x:v>
      </x:c>
      <x:c r="E21" s="18" t="n">
        <x:v>0</x:v>
      </x:c>
      <x:c r="F21" s="18" t="n">
        <x:v>0</x:v>
      </x:c>
      <x:c r="G21" s="18" t="n">
        <x:v>0</x:v>
      </x:c>
      <x:c r="H21" s="18" t="n">
        <x:v>0</x:v>
      </x:c>
      <x:c r="I21" s="18" t="n">
        <x:v>0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0</x:v>
      </x:c>
    </x:row>
    <x:row r="22" ht="15" hidden="0" customHeight="1">
      <x:c r="A22" s="18" t="str">
        <x:v>SF25</x:v>
      </x:c>
      <x:c r="B22" s="18" t="str">
        <x:v>S25; S33; S34</x:v>
      </x:c>
      <x:c r="C22" s="18" t="n">
        <x:v>3</x:v>
      </x:c>
      <x:c r="D22" s="18" t="n">
        <x:v>0</x:v>
      </x:c>
      <x:c r="E22" s="18" t="n">
        <x:v>0</x:v>
      </x:c>
      <x:c r="F22" s="18" t="n">
        <x:v>0</x:v>
      </x:c>
      <x:c r="G22" s="18" t="n">
        <x:v>1</x:v>
      </x:c>
      <x:c r="H22" s="18" t="n">
        <x:v>0</x:v>
      </x:c>
      <x:c r="I22" s="18" t="n">
        <x:v>0</x:v>
      </x:c>
      <x:c r="J22" s="18" t="n">
        <x:v>1</x:v>
      </x:c>
      <x:c r="K22" s="18" t="n">
        <x:v>1</x:v>
      </x:c>
      <x:c r="L22" s="18" t="n">
        <x:v>0</x:v>
      </x:c>
      <x:c r="M22" s="18" t="n">
        <x:v>1</x:v>
      </x:c>
      <x:c r="N22" s="18" t="n">
        <x:v>1</x:v>
      </x:c>
      <x:c r="O22" s="18" t="n">
        <x:v>0</x:v>
      </x:c>
      <x:c r="P22" s="18" t="n">
        <x:v>0</x:v>
      </x:c>
      <x:c r="Q22" s="18" t="n">
        <x:v>0</x:v>
      </x:c>
    </x:row>
    <x:row r="23" ht="15" hidden="0" customHeight="1">
      <x:c r="A23" s="18" t="str">
        <x:v>SF26</x:v>
      </x:c>
      <x:c r="B23" s="18" t="str">
        <x:v>S26</x:v>
      </x:c>
      <x:c r="C23" s="18" t="n">
        <x:v>1</x:v>
      </x:c>
      <x:c r="D23" s="18" t="n">
        <x:v>1</x:v>
      </x:c>
      <x:c r="E23" s="18" t="n">
        <x:v>0</x:v>
      </x:c>
      <x:c r="F23" s="18" t="n">
        <x:v>0</x:v>
      </x:c>
      <x:c r="G23" s="18" t="n">
        <x:v>0</x:v>
      </x:c>
      <x:c r="H23" s="18" t="n">
        <x:v>0</x:v>
      </x:c>
      <x:c r="I23" s="18" t="n">
        <x:v>0</x:v>
      </x:c>
      <x:c r="J23" s="18" t="n">
        <x:v>1</x:v>
      </x:c>
      <x:c r="K23" s="18" t="n">
        <x:v>1</x:v>
      </x:c>
      <x:c r="L23" s="18" t="n">
        <x:v>1</x:v>
      </x:c>
      <x:c r="M23" s="18" t="n">
        <x:v>0</x:v>
      </x:c>
      <x:c r="N23" s="18" t="n">
        <x:v>0</x:v>
      </x:c>
      <x:c r="O23" s="18" t="n">
        <x:v>1</x:v>
      </x:c>
      <x:c r="P23" s="18" t="n">
        <x:v>1</x:v>
      </x:c>
      <x:c r="Q23" s="18" t="n">
        <x:v>0</x:v>
      </x:c>
    </x:row>
    <x:row r="24" ht="15" hidden="0" customHeight="1">
      <x:c r="A24" s="18" t="str">
        <x:v>SF27</x:v>
      </x:c>
      <x:c r="B24" s="18" t="str">
        <x:v>S27</x:v>
      </x:c>
      <x:c r="C24" s="18" t="n">
        <x:v>1</x:v>
      </x:c>
      <x:c r="D24" s="18" t="n">
        <x:v>1</x:v>
      </x:c>
      <x:c r="E24" s="18" t="n">
        <x:v>0</x:v>
      </x:c>
      <x:c r="F24" s="18" t="n">
        <x:v>0</x:v>
      </x:c>
      <x:c r="G24" s="18" t="n">
        <x:v>0</x:v>
      </x:c>
      <x:c r="H24" s="18" t="n">
        <x:v>0</x:v>
      </x:c>
      <x:c r="I24" s="18" t="n">
        <x:v>0</x:v>
      </x:c>
      <x:c r="J24" s="18" t="n">
        <x:v>1</x:v>
      </x:c>
      <x:c r="K24" s="18" t="n">
        <x:v>1</x:v>
      </x:c>
      <x:c r="L24" s="18" t="n">
        <x:v>1</x:v>
      </x:c>
      <x:c r="M24" s="18" t="n">
        <x:v>0</x:v>
      </x:c>
      <x:c r="N24" s="18" t="n">
        <x:v>0</x:v>
      </x:c>
      <x:c r="O24" s="18" t="n">
        <x:v>1</x:v>
      </x:c>
      <x:c r="P24" s="18" t="n">
        <x:v>0</x:v>
      </x:c>
      <x:c r="Q24" s="18" t="n">
        <x:v>1</x:v>
      </x:c>
    </x:row>
    <x:row r="25" ht="15" hidden="0" customHeight="1">
      <x:c r="A25" s="18" t="str">
        <x:v>SF28</x:v>
      </x:c>
      <x:c r="B25" s="18" t="str">
        <x:v>S28</x:v>
      </x:c>
      <x:c r="C25" s="18" t="n">
        <x:v>1</x:v>
      </x:c>
      <x:c r="D25" s="18" t="n">
        <x:v>0</x:v>
      </x:c>
      <x:c r="E25" s="18" t="n">
        <x:v>0</x:v>
      </x:c>
      <x:c r="F25" s="18" t="n">
        <x:v>0</x:v>
      </x:c>
      <x:c r="G25" s="18" t="n">
        <x:v>0</x:v>
      </x:c>
      <x:c r="H25" s="18" t="n">
        <x:v>0</x:v>
      </x:c>
      <x:c r="I25" s="18" t="n">
        <x:v>1</x:v>
      </x:c>
      <x:c r="J25" s="18" t="n">
        <x:v>0</x:v>
      </x:c>
      <x:c r="K25" s="18" t="n">
        <x:v>1</x:v>
      </x:c>
      <x:c r="L25" s="18" t="n">
        <x:v>0</x:v>
      </x:c>
      <x:c r="M25" s="18" t="n">
        <x:v>0</x:v>
      </x:c>
      <x:c r="N25" s="18" t="n">
        <x:v>0</x:v>
      </x:c>
      <x:c r="O25" s="18" t="n">
        <x:v>1</x:v>
      </x:c>
      <x:c r="P25" s="18" t="n">
        <x:v>1</x:v>
      </x:c>
      <x:c r="Q25" s="18" t="n">
        <x:v>0</x:v>
      </x:c>
    </x:row>
    <x:row r="26" ht="15" hidden="0" customHeight="1">
      <x:c r="A26" s="18" t="str">
        <x:v>SF30</x:v>
      </x:c>
      <x:c r="B26" s="18" t="str">
        <x:v>S30</x:v>
      </x:c>
      <x:c r="C26" s="18" t="n">
        <x:v>1</x:v>
      </x:c>
      <x:c r="D26" s="18" t="n">
        <x:v>1</x:v>
      </x:c>
      <x:c r="E26" s="18" t="n">
        <x:v>0</x:v>
      </x:c>
      <x:c r="F26" s="18" t="n">
        <x:v>0</x:v>
      </x:c>
      <x:c r="G26" s="18" t="n">
        <x:v>0</x:v>
      </x:c>
      <x:c r="H26" s="18" t="n">
        <x:v>0</x:v>
      </x:c>
      <x:c r="I26" s="18" t="n">
        <x:v>0</x:v>
      </x:c>
      <x:c r="J26" s="18" t="n">
        <x:v>0</x:v>
      </x:c>
      <x:c r="K26" s="18" t="n">
        <x:v>0</x:v>
      </x:c>
      <x:c r="L26" s="18" t="n">
        <x:v>1</x:v>
      </x:c>
      <x:c r="M26" s="18" t="n">
        <x:v>1</x:v>
      </x:c>
      <x:c r="N26" s="18" t="n">
        <x:v>0</x:v>
      </x:c>
      <x:c r="O26" s="18" t="n">
        <x:v>1</x:v>
      </x:c>
      <x:c r="P26" s="18" t="n">
        <x:v>0</x:v>
      </x:c>
      <x:c r="Q26" s="18" t="n">
        <x:v>1</x:v>
      </x:c>
    </x:row>
    <x:row r="27" ht="15" hidden="0" customHeight="1">
      <x:c r="A27" s="18" t="str">
        <x:v>SF31</x:v>
      </x:c>
      <x:c r="B27" s="18" t="str">
        <x:v>S31</x:v>
      </x:c>
      <x:c r="C27" s="18" t="n">
        <x:v>1</x:v>
      </x:c>
      <x:c r="D27" s="18" t="n">
        <x:v>0</x:v>
      </x:c>
      <x:c r="E27" s="18" t="n">
        <x:v>0</x:v>
      </x:c>
      <x:c r="F27" s="18" t="n">
        <x:v>0</x:v>
      </x:c>
      <x:c r="G27" s="18" t="n">
        <x:v>1</x:v>
      </x:c>
      <x:c r="H27" s="18" t="n">
        <x:v>0</x:v>
      </x:c>
      <x:c r="I27" s="18" t="n">
        <x:v>0</x:v>
      </x:c>
      <x:c r="J27" s="18" t="n">
        <x:v>0</x:v>
      </x:c>
      <x:c r="K27" s="18" t="n">
        <x:v>0</x:v>
      </x:c>
      <x:c r="L27" s="18" t="n">
        <x:v>0</x:v>
      </x:c>
      <x:c r="M27" s="18" t="n">
        <x:v>0</x:v>
      </x:c>
      <x:c r="N27" s="18" t="n">
        <x:v>0</x:v>
      </x:c>
      <x:c r="O27" s="18" t="n">
        <x:v>0</x:v>
      </x:c>
      <x:c r="P27" s="18" t="n">
        <x:v>0</x:v>
      </x:c>
      <x:c r="Q27" s="18" t="n">
        <x:v>0</x:v>
      </x:c>
    </x:row>
    <x:row r="28" ht="15" hidden="0" customHeight="1">
      <x:c r="A28" s="18" t="str">
        <x:v>SF32</x:v>
      </x:c>
      <x:c r="B28" s="18" t="str">
        <x:v>S32</x:v>
      </x:c>
      <x:c r="C28" s="18" t="n">
        <x:v>1</x:v>
      </x:c>
      <x:c r="D28" s="18" t="n">
        <x:v>1</x:v>
      </x:c>
      <x:c r="E28" s="18" t="n">
        <x:v>0</x:v>
      </x:c>
      <x:c r="F28" s="18" t="n">
        <x:v>0</x:v>
      </x:c>
      <x:c r="G28" s="18" t="n">
        <x:v>0</x:v>
      </x:c>
      <x:c r="H28" s="18" t="n">
        <x:v>0</x:v>
      </x:c>
      <x:c r="I28" s="18" t="n">
        <x:v>0</x:v>
      </x:c>
      <x:c r="J28" s="18" t="n">
        <x:v>0</x:v>
      </x:c>
      <x:c r="K28" s="18" t="n">
        <x:v>0</x:v>
      </x:c>
      <x:c r="L28" s="18" t="n">
        <x:v>0</x:v>
      </x:c>
      <x:c r="M28" s="18" t="n">
        <x:v>0</x:v>
      </x:c>
      <x:c r="N28" s="18" t="n">
        <x:v>0</x:v>
      </x:c>
      <x:c r="O28" s="18" t="n">
        <x:v>0</x:v>
      </x:c>
      <x:c r="P28" s="18" t="n">
        <x:v>0</x:v>
      </x:c>
      <x:c r="Q28" s="18" t="n">
        <x:v>0</x:v>
      </x:c>
    </x:row>
    <x:row r="29" ht="15" hidden="0" customHeight="1">
      <x:c r="A29" s="18" t="str">
        <x:v>SF35</x:v>
      </x:c>
      <x:c r="B29" s="18" t="str">
        <x:v>S35</x:v>
      </x:c>
      <x:c r="C29" s="18" t="n">
        <x:v>1</x:v>
      </x:c>
      <x:c r="D29" s="18" t="n">
        <x:v>0</x:v>
      </x:c>
      <x:c r="E29" s="18" t="n">
        <x:v>1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  <x:c r="J29" s="18" t="n">
        <x:v>0</x:v>
      </x:c>
      <x:c r="K29" s="18" t="n">
        <x:v>1</x:v>
      </x:c>
      <x:c r="L29" s="18" t="n">
        <x:v>0</x:v>
      </x:c>
      <x:c r="M29" s="18" t="n">
        <x:v>0</x:v>
      </x:c>
      <x:c r="N29" s="18" t="n">
        <x:v>0</x:v>
      </x:c>
      <x:c r="O29" s="18" t="n">
        <x:v>0</x:v>
      </x:c>
      <x:c r="P29" s="18" t="n">
        <x:v>1</x:v>
      </x:c>
      <x:c r="Q29" s="18" t="n">
        <x:v>1</x:v>
      </x:c>
    </x:row>
    <x:row r="30" ht="15" hidden="0" customHeight="1">
      <x:c r="A30" s="18" t="str">
        <x:v>SF36</x:v>
      </x:c>
      <x:c r="B30" s="18" t="str">
        <x:v>S36</x:v>
      </x:c>
      <x:c r="C30" s="18" t="n">
        <x:v>1</x:v>
      </x:c>
      <x:c r="D30" s="18" t="n">
        <x:v>0</x:v>
      </x:c>
      <x:c r="E30" s="18" t="n">
        <x:v>1</x:v>
      </x:c>
      <x:c r="F30" s="18" t="n">
        <x:v>0</x:v>
      </x:c>
      <x:c r="G30" s="18" t="n">
        <x:v>0</x:v>
      </x:c>
      <x:c r="H30" s="18" t="n">
        <x:v>0</x:v>
      </x:c>
      <x:c r="I30" s="18" t="n">
        <x:v>0</x:v>
      </x:c>
      <x:c r="J30" s="18" t="n">
        <x:v>0</x:v>
      </x:c>
      <x:c r="K30" s="18" t="n">
        <x:v>1</x:v>
      </x:c>
      <x:c r="L30" s="18" t="n">
        <x:v>1</x:v>
      </x:c>
      <x:c r="M30" s="18" t="n">
        <x:v>0</x:v>
      </x:c>
      <x:c r="N30" s="18" t="n">
        <x:v>0</x:v>
      </x:c>
      <x:c r="O30" s="18" t="n">
        <x:v>1</x:v>
      </x:c>
      <x:c r="P30" s="18" t="n">
        <x:v>0</x:v>
      </x:c>
      <x:c r="Q30" s="18" t="n">
        <x:v>0</x:v>
      </x:c>
    </x:row>
    <x:row r="31" ht="15" hidden="0" customHeight="1">
      <x:c r="A31" s="18" t="str">
        <x:v>SF37</x:v>
      </x:c>
      <x:c r="B31" s="18" t="str">
        <x:v>S37</x:v>
      </x:c>
      <x:c r="C31" s="18" t="n">
        <x:v>1</x:v>
      </x:c>
      <x:c r="D31" s="18" t="n">
        <x:v>0</x:v>
      </x:c>
      <x:c r="E31" s="18" t="n">
        <x:v>0</x:v>
      </x:c>
      <x:c r="F31" s="18" t="n">
        <x:v>0</x:v>
      </x:c>
      <x:c r="G31" s="18" t="n">
        <x:v>0</x:v>
      </x:c>
      <x:c r="H31" s="18" t="n">
        <x:v>0</x:v>
      </x:c>
      <x:c r="I31" s="18" t="n">
        <x:v>1</x:v>
      </x:c>
      <x:c r="J31" s="18" t="n">
        <x:v>1</x:v>
      </x:c>
      <x:c r="K31" s="18" t="n">
        <x:v>1</x:v>
      </x:c>
      <x:c r="L31" s="18" t="n">
        <x:v>1</x:v>
      </x:c>
      <x:c r="M31" s="18" t="n">
        <x:v>0</x:v>
      </x:c>
      <x:c r="N31" s="18" t="n">
        <x:v>0</x:v>
      </x:c>
      <x:c r="O31" s="18" t="n">
        <x:v>1</x:v>
      </x:c>
      <x:c r="P31" s="18" t="n">
        <x:v>0</x:v>
      </x:c>
      <x:c r="Q31" s="18" t="n">
        <x:v>0</x:v>
      </x:c>
    </x:row>
    <x:row r="32" ht="15" hidden="0" customHeight="1">
      <x:c r="A32" s="18" t="str">
        <x:v>SF38</x:v>
      </x:c>
      <x:c r="B32" s="18" t="str">
        <x:v>S38</x:v>
      </x:c>
      <x:c r="C32" s="18" t="n">
        <x:v>1</x:v>
      </x:c>
      <x:c r="D32" s="18" t="n">
        <x:v>1</x:v>
      </x:c>
      <x:c r="E32" s="18" t="n">
        <x:v>0</x:v>
      </x:c>
      <x:c r="F32" s="18" t="n">
        <x:v>0</x:v>
      </x:c>
      <x:c r="G32" s="18" t="n">
        <x:v>0</x:v>
      </x:c>
      <x:c r="H32" s="18" t="n">
        <x:v>0</x:v>
      </x:c>
      <x:c r="I32" s="18" t="n">
        <x:v>0</x:v>
      </x:c>
      <x:c r="J32" s="18" t="n">
        <x:v>0</x:v>
      </x:c>
      <x:c r="K32" s="18" t="n">
        <x:v>1</x:v>
      </x:c>
      <x:c r="L32" s="18" t="n">
        <x:v>1</x:v>
      </x:c>
      <x:c r="M32" s="18" t="n">
        <x:v>0</x:v>
      </x:c>
      <x:c r="N32" s="18" t="n">
        <x:v>0</x:v>
      </x:c>
      <x:c r="O32" s="18" t="n">
        <x:v>0</x:v>
      </x:c>
      <x:c r="P32" s="18" t="n">
        <x:v>0</x:v>
      </x:c>
      <x:c r="Q32" s="18" t="n">
        <x:v>1</x:v>
      </x:c>
    </x:row>
    <x:row r="33" ht="15" hidden="0" customHeight="1">
      <x:c r="A33" s="18" t="str">
        <x:v>SF39</x:v>
      </x:c>
      <x:c r="B33" s="18" t="str">
        <x:v>S39</x:v>
      </x:c>
      <x:c r="C33" s="18" t="n">
        <x:v>1</x:v>
      </x:c>
      <x:c r="D33" s="18" t="n">
        <x:v>1</x:v>
      </x:c>
      <x:c r="E33" s="18" t="n">
        <x:v>0</x:v>
      </x:c>
      <x:c r="F33" s="18" t="n">
        <x:v>0</x:v>
      </x:c>
      <x:c r="G33" s="18" t="n">
        <x:v>0</x:v>
      </x:c>
      <x:c r="H33" s="18" t="n">
        <x:v>0</x:v>
      </x:c>
      <x:c r="I33" s="18" t="n">
        <x:v>0</x:v>
      </x:c>
      <x:c r="J33" s="18" t="n">
        <x:v>1</x:v>
      </x:c>
      <x:c r="K33" s="18" t="n">
        <x:v>1</x:v>
      </x:c>
      <x:c r="L33" s="18" t="n">
        <x:v>1</x:v>
      </x:c>
      <x:c r="M33" s="18" t="n">
        <x:v>0</x:v>
      </x:c>
      <x:c r="N33" s="18" t="n">
        <x:v>0</x:v>
      </x:c>
      <x:c r="O33" s="18" t="n">
        <x:v>1</x:v>
      </x:c>
      <x:c r="P33" s="18" t="n">
        <x:v>0</x:v>
      </x:c>
      <x:c r="Q33" s="18" t="n">
        <x:v>0</x:v>
      </x:c>
    </x:row>
    <x:row r="34" ht="15" hidden="0" customHeight="1">
      <x:c r="A34" s="18" t="str">
        <x:v>SF40</x:v>
      </x:c>
      <x:c r="B34" s="18" t="str">
        <x:v>S40</x:v>
      </x:c>
      <x:c r="C34" s="18" t="n">
        <x:v>1</x:v>
      </x:c>
      <x:c r="D34" s="18" t="n">
        <x:v>0</x:v>
      </x:c>
      <x:c r="E34" s="18" t="n">
        <x:v>1</x:v>
      </x:c>
      <x:c r="F34" s="18" t="n">
        <x:v>0</x:v>
      </x:c>
      <x:c r="G34" s="18" t="n">
        <x:v>0</x:v>
      </x:c>
      <x:c r="H34" s="18" t="n">
        <x:v>0</x:v>
      </x:c>
      <x:c r="I34" s="18" t="n">
        <x:v>0</x:v>
      </x:c>
      <x:c r="J34" s="18" t="n">
        <x:v>1</x:v>
      </x:c>
      <x:c r="K34" s="18" t="n">
        <x:v>1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0</x:v>
      </x:c>
    </x:row>
    <x:row r="35" ht="15" hidden="0" customHeight="1">
      <x:c r="A35" s="18" t="str">
        <x:v>SF41</x:v>
      </x:c>
      <x:c r="B35" s="18" t="str">
        <x:v>S41</x:v>
      </x:c>
      <x:c r="C35" s="18" t="n">
        <x:v>1</x:v>
      </x:c>
      <x:c r="D35" s="18" t="n">
        <x:v>1</x:v>
      </x:c>
      <x:c r="E35" s="18" t="n">
        <x:v>0</x:v>
      </x:c>
      <x:c r="F35" s="18" t="n">
        <x:v>0</x:v>
      </x:c>
      <x:c r="G35" s="18" t="n">
        <x:v>0</x:v>
      </x:c>
      <x:c r="H35" s="18" t="n">
        <x:v>0</x:v>
      </x:c>
      <x:c r="I35" s="18" t="n">
        <x:v>0</x:v>
      </x:c>
      <x:c r="J35" s="18" t="n">
        <x:v>1</x:v>
      </x:c>
      <x:c r="K35" s="18" t="n">
        <x:v>1</x:v>
      </x:c>
      <x:c r="L35" s="18" t="n">
        <x:v>0</x:v>
      </x:c>
      <x:c r="M35" s="18" t="n">
        <x:v>0</x:v>
      </x:c>
      <x:c r="N35" s="18" t="n">
        <x:v>0</x:v>
      </x:c>
      <x:c r="O35" s="18" t="n">
        <x:v>0</x:v>
      </x:c>
      <x:c r="P35" s="18" t="n">
        <x:v>0</x:v>
      </x:c>
      <x:c r="Q35" s="18" t="n">
        <x:v>0</x:v>
      </x:c>
    </x:row>
    <x:row r="36" ht="15" hidden="0" customHeight="1">
      <x:c r="A36" s="18" t="str">
        <x:v>SF42</x:v>
      </x:c>
      <x:c r="B36" s="18" t="str">
        <x:v>S42; S52</x:v>
      </x:c>
      <x:c r="C36" s="18" t="n">
        <x:v>2</x:v>
      </x:c>
      <x:c r="D36" s="18" t="n">
        <x:v>1</x:v>
      </x:c>
      <x:c r="E36" s="18" t="n">
        <x:v>0</x:v>
      </x:c>
      <x:c r="F36" s="18" t="n">
        <x:v>0</x:v>
      </x:c>
      <x:c r="G36" s="18" t="n">
        <x:v>0</x:v>
      </x:c>
      <x:c r="H36" s="18" t="n">
        <x:v>1</x:v>
      </x:c>
      <x:c r="I36" s="18" t="n">
        <x:v>0</x:v>
      </x:c>
      <x:c r="J36" s="18" t="n">
        <x:v>0</x:v>
      </x:c>
      <x:c r="K36" s="18" t="n">
        <x:v>1</x:v>
      </x:c>
      <x:c r="L36" s="18" t="n">
        <x:v>1</x:v>
      </x:c>
      <x:c r="M36" s="18" t="n">
        <x:v>0</x:v>
      </x:c>
      <x:c r="N36" s="18" t="n">
        <x:v>1</x:v>
      </x:c>
      <x:c r="O36" s="18" t="n">
        <x:v>1</x:v>
      </x:c>
      <x:c r="P36" s="18" t="n">
        <x:v>1</x:v>
      </x:c>
      <x:c r="Q36" s="18" t="n">
        <x:v>1</x:v>
      </x:c>
    </x:row>
    <x:row r="37" ht="15" hidden="0" customHeight="1">
      <x:c r="A37" s="18" t="str">
        <x:v>SF43</x:v>
      </x:c>
      <x:c r="B37" s="18" t="str">
        <x:v>S43</x:v>
      </x:c>
      <x:c r="C37" s="18" t="n">
        <x:v>1</x:v>
      </x:c>
      <x:c r="D37" s="18" t="n">
        <x:v>0</x:v>
      </x:c>
      <x:c r="E37" s="18" t="n">
        <x:v>1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  <x:c r="J37" s="18" t="n">
        <x:v>1</x:v>
      </x:c>
      <x:c r="K37" s="18" t="n">
        <x:v>0</x:v>
      </x:c>
      <x:c r="L37" s="18" t="n">
        <x:v>1</x:v>
      </x:c>
      <x:c r="M37" s="18" t="n">
        <x:v>0</x:v>
      </x:c>
      <x:c r="N37" s="18" t="n">
        <x:v>0</x:v>
      </x:c>
      <x:c r="O37" s="18" t="n">
        <x:v>1</x:v>
      </x:c>
      <x:c r="P37" s="18" t="n">
        <x:v>0</x:v>
      </x:c>
      <x:c r="Q37" s="18" t="n">
        <x:v>0</x:v>
      </x:c>
    </x:row>
    <x:row r="38" ht="15" hidden="0" customHeight="1">
      <x:c r="A38" s="18" t="str">
        <x:v>SF44</x:v>
      </x:c>
      <x:c r="B38" s="18" t="str">
        <x:v>S44</x:v>
      </x:c>
      <x:c r="C38" s="18" t="n">
        <x:v>1</x:v>
      </x:c>
      <x:c r="D38" s="18" t="n">
        <x:v>1</x:v>
      </x:c>
      <x:c r="E38" s="18" t="n">
        <x:v>0</x:v>
      </x:c>
      <x:c r="F38" s="18" t="n">
        <x:v>0</x:v>
      </x:c>
      <x:c r="G38" s="18" t="n">
        <x:v>0</x:v>
      </x:c>
      <x:c r="H38" s="18" t="n">
        <x:v>0</x:v>
      </x:c>
      <x:c r="I38" s="18" t="n">
        <x:v>0</x:v>
      </x:c>
      <x:c r="J38" s="18" t="n">
        <x:v>1</x:v>
      </x:c>
      <x:c r="K38" s="18" t="n">
        <x:v>1</x:v>
      </x:c>
      <x:c r="L38" s="18" t="n">
        <x:v>1</x:v>
      </x:c>
      <x:c r="M38" s="18" t="n">
        <x:v>0</x:v>
      </x:c>
      <x:c r="N38" s="18" t="n">
        <x:v>0</x:v>
      </x:c>
      <x:c r="O38" s="18" t="n">
        <x:v>1</x:v>
      </x:c>
      <x:c r="P38" s="18" t="n">
        <x:v>0</x:v>
      </x:c>
      <x:c r="Q38" s="18" t="n">
        <x:v>0</x:v>
      </x:c>
    </x:row>
    <x:row r="39" ht="15" hidden="0" customHeight="1">
      <x:c r="A39" s="18" t="str">
        <x:v>SF45</x:v>
      </x:c>
      <x:c r="B39" s="18" t="str">
        <x:v>S45</x:v>
      </x:c>
      <x:c r="C39" s="18" t="n">
        <x:v>1</x:v>
      </x:c>
      <x:c r="D39" s="18" t="n">
        <x:v>1</x:v>
      </x:c>
      <x:c r="E39" s="18" t="n">
        <x:v>0</x:v>
      </x:c>
      <x:c r="F39" s="18" t="n">
        <x:v>0</x:v>
      </x:c>
      <x:c r="G39" s="18" t="n">
        <x:v>0</x:v>
      </x:c>
      <x:c r="H39" s="18" t="n">
        <x:v>0</x:v>
      </x:c>
      <x:c r="I39" s="18" t="n">
        <x:v>0</x:v>
      </x:c>
      <x:c r="J39" s="18" t="n">
        <x:v>1</x:v>
      </x:c>
      <x:c r="K39" s="18" t="n">
        <x:v>1</x:v>
      </x:c>
      <x:c r="L39" s="18" t="n">
        <x:v>0</x:v>
      </x:c>
      <x:c r="M39" s="18" t="n">
        <x:v>0</x:v>
      </x:c>
      <x:c r="N39" s="18" t="n">
        <x:v>0</x:v>
      </x:c>
      <x:c r="O39" s="18" t="n">
        <x:v>0</x:v>
      </x:c>
      <x:c r="P39" s="18" t="n">
        <x:v>0</x:v>
      </x:c>
      <x:c r="Q39" s="18" t="n">
        <x:v>1</x:v>
      </x:c>
    </x:row>
    <x:row r="40" ht="15" hidden="0" customHeight="1">
      <x:c r="A40" s="18" t="str">
        <x:v>SF46</x:v>
      </x:c>
      <x:c r="B40" s="18" t="str">
        <x:v>S46</x:v>
      </x:c>
      <x:c r="C40" s="18" t="n">
        <x:v>1</x:v>
      </x:c>
      <x:c r="D40" s="18" t="n">
        <x:v>1</x:v>
      </x:c>
      <x:c r="E40" s="18" t="n">
        <x:v>0</x:v>
      </x:c>
      <x:c r="F40" s="18" t="n">
        <x:v>0</x:v>
      </x:c>
      <x:c r="G40" s="18" t="n">
        <x:v>0</x:v>
      </x:c>
      <x:c r="H40" s="18" t="n">
        <x:v>0</x:v>
      </x:c>
      <x:c r="I40" s="18" t="n">
        <x:v>0</x:v>
      </x:c>
      <x:c r="J40" s="18" t="n">
        <x:v>1</x:v>
      </x:c>
      <x:c r="K40" s="18" t="n">
        <x:v>1</x:v>
      </x:c>
      <x:c r="L40" s="18" t="n">
        <x:v>0</x:v>
      </x:c>
      <x:c r="M40" s="18" t="n">
        <x:v>0</x:v>
      </x:c>
      <x:c r="N40" s="18" t="n">
        <x:v>0</x:v>
      </x:c>
      <x:c r="O40" s="18" t="n">
        <x:v>0</x:v>
      </x:c>
      <x:c r="P40" s="18" t="n">
        <x:v>0</x:v>
      </x:c>
      <x:c r="Q40" s="18" t="n">
        <x:v>1</x:v>
      </x:c>
    </x:row>
    <x:row r="41" ht="15" hidden="0" customHeight="1">
      <x:c r="A41" s="18" t="str">
        <x:v>SF47</x:v>
      </x:c>
      <x:c r="B41" s="18" t="str">
        <x:v>S47</x:v>
      </x:c>
      <x:c r="C41" s="18" t="n">
        <x:v>1</x:v>
      </x:c>
      <x:c r="D41" s="18" t="n">
        <x:v>0</x:v>
      </x:c>
      <x:c r="E41" s="18" t="n">
        <x:v>0</x:v>
      </x:c>
      <x:c r="F41" s="18" t="n">
        <x:v>0</x:v>
      </x:c>
      <x:c r="G41" s="18" t="n">
        <x:v>0</x:v>
      </x:c>
      <x:c r="H41" s="18" t="n">
        <x:v>0</x:v>
      </x:c>
      <x:c r="I41" s="18" t="n">
        <x:v>1</x:v>
      </x:c>
      <x:c r="J41" s="18" t="n">
        <x:v>1</x:v>
      </x:c>
      <x:c r="K41" s="18" t="n">
        <x:v>0</x:v>
      </x:c>
      <x:c r="L41" s="18" t="n">
        <x:v>1</x:v>
      </x:c>
      <x:c r="M41" s="18" t="n">
        <x:v>0</x:v>
      </x:c>
      <x:c r="N41" s="18" t="n">
        <x:v>0</x:v>
      </x:c>
      <x:c r="O41" s="18" t="n">
        <x:v>1</x:v>
      </x:c>
      <x:c r="P41" s="18" t="n">
        <x:v>0</x:v>
      </x:c>
      <x:c r="Q41" s="18" t="n">
        <x:v>0</x:v>
      </x:c>
    </x:row>
    <x:row r="42" ht="15" hidden="0" customHeight="1">
      <x:c r="A42" s="18" t="str">
        <x:v>SF48</x:v>
      </x:c>
      <x:c r="B42" s="18" t="str">
        <x:v>S48</x:v>
      </x:c>
      <x:c r="C42" s="18" t="n">
        <x:v>1</x:v>
      </x:c>
      <x:c r="D42" s="18" t="n">
        <x:v>1</x:v>
      </x:c>
      <x:c r="E42" s="18" t="n">
        <x:v>0</x:v>
      </x:c>
      <x:c r="F42" s="18" t="n">
        <x:v>0</x:v>
      </x:c>
      <x:c r="G42" s="18" t="n">
        <x:v>0</x:v>
      </x:c>
      <x:c r="H42" s="18" t="n">
        <x:v>0</x:v>
      </x:c>
      <x:c r="I42" s="18" t="n">
        <x:v>0</x:v>
      </x:c>
      <x:c r="J42" s="18" t="n">
        <x:v>0</x:v>
      </x:c>
      <x:c r="K42" s="18" t="n">
        <x:v>1</x:v>
      </x:c>
      <x:c r="L42" s="18" t="n">
        <x:v>1</x:v>
      </x:c>
      <x:c r="M42" s="18" t="n">
        <x:v>1</x:v>
      </x:c>
      <x:c r="N42" s="18" t="n">
        <x:v>0</x:v>
      </x:c>
      <x:c r="O42" s="18" t="n">
        <x:v>1</x:v>
      </x:c>
      <x:c r="P42" s="18" t="n">
        <x:v>1</x:v>
      </x:c>
      <x:c r="Q42" s="18" t="n">
        <x:v>1</x:v>
      </x:c>
    </x:row>
    <x:row r="43" ht="15" hidden="0" customHeight="1">
      <x:c r="A43" s="18" t="str">
        <x:v>SF49</x:v>
      </x:c>
      <x:c r="B43" s="18" t="str">
        <x:v>S49; S53</x:v>
      </x:c>
      <x:c r="C43" s="18" t="n">
        <x:v>2</x:v>
      </x:c>
      <x:c r="D43" s="18" t="n">
        <x:v>1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  <x:c r="J43" s="18" t="n">
        <x:v>1</x:v>
      </x:c>
      <x:c r="K43" s="18" t="n">
        <x:v>0</x:v>
      </x:c>
      <x:c r="L43" s="18" t="n">
        <x:v>1</x:v>
      </x:c>
      <x:c r="M43" s="18" t="n">
        <x:v>1</x:v>
      </x:c>
      <x:c r="N43" s="18" t="n">
        <x:v>1</x:v>
      </x:c>
      <x:c r="O43" s="18" t="n">
        <x:v>0</x:v>
      </x:c>
      <x:c r="P43" s="18" t="n">
        <x:v>0</x:v>
      </x:c>
      <x:c r="Q43" s="18" t="n">
        <x:v>1</x:v>
      </x:c>
    </x:row>
    <x:row r="44" ht="15" hidden="0" customHeight="1">
      <x:c r="A44" s="18" t="str">
        <x:v>SF50</x:v>
      </x:c>
      <x:c r="B44" s="18" t="str">
        <x:v>S50</x:v>
      </x:c>
      <x:c r="C44" s="18" t="n">
        <x:v>1</x:v>
      </x:c>
      <x:c r="D44" s="18" t="n">
        <x:v>0</x:v>
      </x:c>
      <x:c r="E44" s="18" t="n">
        <x:v>0</x:v>
      </x:c>
      <x:c r="F44" s="18" t="n">
        <x:v>0</x:v>
      </x:c>
      <x:c r="G44" s="18" t="n">
        <x:v>1</x:v>
      </x:c>
      <x:c r="H44" s="18" t="n">
        <x:v>0</x:v>
      </x:c>
      <x:c r="I44" s="18" t="n">
        <x:v>0</x:v>
      </x:c>
      <x:c r="J44" s="18" t="n">
        <x:v>0</x:v>
      </x:c>
      <x:c r="K44" s="18" t="n">
        <x:v>0</x:v>
      </x:c>
      <x:c r="L44" s="18" t="n">
        <x:v>1</x:v>
      </x:c>
      <x:c r="M44" s="18" t="n">
        <x:v>1</x:v>
      </x:c>
      <x:c r="N44" s="18" t="n">
        <x:v>1</x:v>
      </x:c>
      <x:c r="O44" s="18" t="n">
        <x:v>0</x:v>
      </x:c>
      <x:c r="P44" s="18" t="n">
        <x:v>0</x:v>
      </x:c>
      <x:c r="Q44" s="18" t="n">
        <x:v>0</x:v>
      </x:c>
    </x:row>
    <x:row r="45" ht="15" hidden="0" customHeight="1">
      <x:c r="A45" s="18" t="str">
        <x:v>SF51</x:v>
      </x:c>
      <x:c r="B45" s="18" t="str">
        <x:v>S51</x:v>
      </x:c>
      <x:c r="C45" s="18" t="n">
        <x:v>1</x:v>
      </x:c>
      <x:c r="D45" s="18" t="n">
        <x:v>0</x:v>
      </x:c>
      <x:c r="E45" s="18" t="n">
        <x:v>0</x:v>
      </x:c>
      <x:c r="F45" s="18" t="n">
        <x:v>1</x:v>
      </x:c>
      <x:c r="G45" s="18" t="n">
        <x:v>0</x:v>
      </x:c>
      <x:c r="H45" s="18" t="n">
        <x:v>0</x:v>
      </x:c>
      <x:c r="I45" s="18" t="n">
        <x:v>0</x:v>
      </x:c>
      <x:c r="J45" s="18" t="n">
        <x:v>0</x:v>
      </x:c>
      <x:c r="K45" s="18" t="n">
        <x:v>1</x:v>
      </x:c>
      <x:c r="L45" s="18" t="n">
        <x:v>1</x:v>
      </x:c>
      <x:c r="M45" s="18" t="n">
        <x:v>0</x:v>
      </x:c>
      <x:c r="N45" s="18" t="n">
        <x:v>0</x:v>
      </x:c>
      <x:c r="O45" s="18" t="n">
        <x:v>1</x:v>
      </x:c>
      <x:c r="P45" s="18" t="n">
        <x:v>1</x:v>
      </x:c>
      <x:c r="Q45" s="18" t="n">
        <x:v>1</x:v>
      </x:c>
    </x:row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D2:Q45">
    <x:cfRule type="colorScale" priority="1">
      <x:colorScale>
        <x:cfvo type="min"/>
        <x:cfvo type="percentile" val="50"/>
        <x:cfvo type="max"/>
        <x:color rgb="FFFFFFFF"/>
        <x:color rgb="FFE4EDF4"/>
        <x:color rgb="FF6B9BB8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</x:cols>
  <x:sheetData>
    <x:row r="1" ht="18" hidden="0" customHeight="1">
      <x:c r="A1" s="4" t="str">
        <x:v>Application-domain × author-reported research-gap coverage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/>
    <x:row r="3" ht="15" hidden="0" customHeight="1">
      <x:c r="A3" s="12" t="str">
        <x:v>Publication-level counts</x:v>
      </x:c>
      <x:c r="B3" s="12" t="str">
        <x:v>G1</x:v>
      </x:c>
      <x:c r="C3" s="12" t="str">
        <x:v>G2</x:v>
      </x:c>
      <x:c r="D3" s="12" t="str">
        <x:v>G3</x:v>
      </x:c>
      <x:c r="E3" s="12" t="str">
        <x:v>G4</x:v>
      </x:c>
      <x:c r="F3" s="12" t="str">
        <x:v>G5</x:v>
      </x:c>
      <x:c r="G3" s="12" t="str">
        <x:v>G6</x:v>
      </x:c>
      <x:c r="H3" s="12" t="str">
        <x:v>G7</x:v>
      </x:c>
      <x:c r="I3" s="12" t="str">
        <x:v>G8</x:v>
      </x:c>
      <x:c r="J3" s="12" t="str">
        <x:v>Row total</x:v>
      </x:c>
    </x:row>
    <x:row r="4" ht="15" hidden="0" customHeight="1">
      <x:c r="A4" s="18" t="str">
        <x:v>Irrigation / water</x:v>
      </x:c>
      <x:c r="B4" s="18" t="n">
        <x:f>COUNTIFS('Author Gap Coding'!$D$2:$D$54,"Irrigation / water management",'Author Gap Coding'!$F$2:$F$54,1)</x:f>
        <x:v>13</x:v>
      </x:c>
      <x:c r="C4" s="18" t="n">
        <x:f>COUNTIFS('Author Gap Coding'!$D$2:$D$54,"Irrigation / water management",'Author Gap Coding'!$G$2:$G$54,1)</x:f>
        <x:v>11</x:v>
      </x:c>
      <x:c r="D4" s="18" t="n">
        <x:f>COUNTIFS('Author Gap Coding'!$D$2:$D$54,"Irrigation / water management",'Author Gap Coding'!$H$2:$H$54,1)</x:f>
        <x:v>15</x:v>
      </x:c>
      <x:c r="E4" s="18" t="n">
        <x:f>COUNTIFS('Author Gap Coding'!$D$2:$D$54,"Irrigation / water management",'Author Gap Coding'!$I$2:$I$54,1)</x:f>
        <x:v>5</x:v>
      </x:c>
      <x:c r="F4" s="18" t="n">
        <x:f>COUNTIFS('Author Gap Coding'!$D$2:$D$54,"Irrigation / water management",'Author Gap Coding'!$J$2:$J$54,1)</x:f>
        <x:v>5</x:v>
      </x:c>
      <x:c r="G4" s="18" t="n">
        <x:f>COUNTIFS('Author Gap Coding'!$D$2:$D$54,"Irrigation / water management",'Author Gap Coding'!$K$2:$K$54,1)</x:f>
        <x:v>8</x:v>
      </x:c>
      <x:c r="H4" s="18" t="n">
        <x:f>COUNTIFS('Author Gap Coding'!$D$2:$D$54,"Irrigation / water management",'Author Gap Coding'!$L$2:$L$54,1)</x:f>
        <x:v>3</x:v>
      </x:c>
      <x:c r="I4" s="18" t="n">
        <x:f>COUNTIFS('Author Gap Coding'!$D$2:$D$54,"Irrigation / water management",'Author Gap Coding'!$M$2:$M$54,1)</x:f>
        <x:v>12</x:v>
      </x:c>
      <x:c r="J4" s="18" t="n">
        <x:v>24</x:v>
      </x:c>
    </x:row>
    <x:row r="5" ht="15" hidden="0" customHeight="1">
      <x:c r="A5" s="18" t="str">
        <x:v>Crop / farm</x:v>
      </x:c>
      <x:c r="B5" s="18" t="n">
        <x:f>COUNTIFS('Author Gap Coding'!$D$2:$D$54,"Crop / farm management",'Author Gap Coding'!$F$2:$F$54,1)</x:f>
        <x:v>4</x:v>
      </x:c>
      <x:c r="C5" s="18" t="n">
        <x:f>COUNTIFS('Author Gap Coding'!$D$2:$D$54,"Crop / farm management",'Author Gap Coding'!$G$2:$G$54,1)</x:f>
        <x:v>3</x:v>
      </x:c>
      <x:c r="D5" s="18" t="n">
        <x:f>COUNTIFS('Author Gap Coding'!$D$2:$D$54,"Crop / farm management",'Author Gap Coding'!$H$2:$H$54,1)</x:f>
        <x:v>5</x:v>
      </x:c>
      <x:c r="E5" s="18" t="n">
        <x:f>COUNTIFS('Author Gap Coding'!$D$2:$D$54,"Crop / farm management",'Author Gap Coding'!$I$2:$I$54,1)</x:f>
        <x:v>0</x:v>
      </x:c>
      <x:c r="F5" s="18" t="n">
        <x:f>COUNTIFS('Author Gap Coding'!$D$2:$D$54,"Crop / farm management",'Author Gap Coding'!$J$2:$J$54,1)</x:f>
        <x:v>1</x:v>
      </x:c>
      <x:c r="G5" s="18" t="n">
        <x:f>COUNTIFS('Author Gap Coding'!$D$2:$D$54,"Crop / farm management",'Author Gap Coding'!$K$2:$K$54,1)</x:f>
        <x:v>5</x:v>
      </x:c>
      <x:c r="H5" s="18" t="n">
        <x:f>COUNTIFS('Author Gap Coding'!$D$2:$D$54,"Crop / farm management",'Author Gap Coding'!$L$2:$L$54,1)</x:f>
        <x:v>3</x:v>
      </x:c>
      <x:c r="I5" s="18" t="n">
        <x:f>COUNTIFS('Author Gap Coding'!$D$2:$D$54,"Crop / farm management",'Author Gap Coding'!$M$2:$M$54,1)</x:f>
        <x:v>2</x:v>
      </x:c>
      <x:c r="J5" s="18" t="n">
        <x:v>8</x:v>
      </x:c>
    </x:row>
    <x:row r="6" ht="15" hidden="0" customHeight="1">
      <x:c r="A6" s="18" t="str">
        <x:v>Livestock / integrated</x:v>
      </x:c>
      <x:c r="B6" s="18" t="n">
        <x:f>COUNTIFS('Author Gap Coding'!$D$2:$D$54,"Livestock / integrated farming",'Author Gap Coding'!$F$2:$F$54,1)</x:f>
        <x:v>2</x:v>
      </x:c>
      <x:c r="C6" s="18" t="n">
        <x:f>COUNTIFS('Author Gap Coding'!$D$2:$D$54,"Livestock / integrated farming",'Author Gap Coding'!$G$2:$G$54,1)</x:f>
        <x:v>5</x:v>
      </x:c>
      <x:c r="D6" s="18" t="n">
        <x:f>COUNTIFS('Author Gap Coding'!$D$2:$D$54,"Livestock / integrated farming",'Author Gap Coding'!$H$2:$H$54,1)</x:f>
        <x:v>3</x:v>
      </x:c>
      <x:c r="E6" s="18" t="n">
        <x:f>COUNTIFS('Author Gap Coding'!$D$2:$D$54,"Livestock / integrated farming",'Author Gap Coding'!$I$2:$I$54,1)</x:f>
        <x:v>0</x:v>
      </x:c>
      <x:c r="F6" s="18" t="n">
        <x:f>COUNTIFS('Author Gap Coding'!$D$2:$D$54,"Livestock / integrated farming",'Author Gap Coding'!$J$2:$J$54,1)</x:f>
        <x:v>2</x:v>
      </x:c>
      <x:c r="G6" s="18" t="n">
        <x:f>COUNTIFS('Author Gap Coding'!$D$2:$D$54,"Livestock / integrated farming",'Author Gap Coding'!$K$2:$K$54,1)</x:f>
        <x:v>3</x:v>
      </x:c>
      <x:c r="H6" s="18" t="n">
        <x:f>COUNTIFS('Author Gap Coding'!$D$2:$D$54,"Livestock / integrated farming",'Author Gap Coding'!$L$2:$L$54,1)</x:f>
        <x:v>3</x:v>
      </x:c>
      <x:c r="I6" s="18" t="n">
        <x:f>COUNTIFS('Author Gap Coding'!$D$2:$D$54,"Livestock / integrated farming",'Author Gap Coding'!$M$2:$M$54,1)</x:f>
        <x:v>2</x:v>
      </x:c>
      <x:c r="J6" s="18" t="n">
        <x:v>6</x:v>
      </x:c>
    </x:row>
    <x:row r="7" ht="15" hidden="0" customHeight="1">
      <x:c r="A7" s="18" t="str">
        <x:v>Workforce / robotics</x:v>
      </x:c>
      <x:c r="B7" s="18" t="n">
        <x:f>COUNTIFS('Author Gap Coding'!$D$2:$D$54,"Workforce / robotics / task allocation",'Author Gap Coding'!$F$2:$F$54,1)</x:f>
        <x:v>3</x:v>
      </x:c>
      <x:c r="C7" s="18" t="n">
        <x:f>COUNTIFS('Author Gap Coding'!$D$2:$D$54,"Workforce / robotics / task allocation",'Author Gap Coding'!$G$2:$G$54,1)</x:f>
        <x:v>1</x:v>
      </x:c>
      <x:c r="D7" s="18" t="n">
        <x:f>COUNTIFS('Author Gap Coding'!$D$2:$D$54,"Workforce / robotics / task allocation",'Author Gap Coding'!$H$2:$H$54,1)</x:f>
        <x:v>2</x:v>
      </x:c>
      <x:c r="E7" s="18" t="n">
        <x:f>COUNTIFS('Author Gap Coding'!$D$2:$D$54,"Workforce / robotics / task allocation",'Author Gap Coding'!$I$2:$I$54,1)</x:f>
        <x:v>4</x:v>
      </x:c>
      <x:c r="F7" s="18" t="n">
        <x:f>COUNTIFS('Author Gap Coding'!$D$2:$D$54,"Workforce / robotics / task allocation",'Author Gap Coding'!$J$2:$J$54,1)</x:f>
        <x:v>3</x:v>
      </x:c>
      <x:c r="G7" s="18" t="n">
        <x:f>COUNTIFS('Author Gap Coding'!$D$2:$D$54,"Workforce / robotics / task allocation",'Author Gap Coding'!$K$2:$K$54,1)</x:f>
        <x:v>0</x:v>
      </x:c>
      <x:c r="H7" s="18" t="n">
        <x:f>COUNTIFS('Author Gap Coding'!$D$2:$D$54,"Workforce / robotics / task allocation",'Author Gap Coding'!$L$2:$L$54,1)</x:f>
        <x:v>0</x:v>
      </x:c>
      <x:c r="I7" s="18" t="n">
        <x:f>COUNTIFS('Author Gap Coding'!$D$2:$D$54,"Workforce / robotics / task allocation",'Author Gap Coding'!$M$2:$M$54,1)</x:f>
        <x:v>0</x:v>
      </x:c>
      <x:c r="J7" s="18" t="n">
        <x:v>6</x:v>
      </x:c>
    </x:row>
    <x:row r="8" ht="15" hidden="0" customHeight="1">
      <x:c r="A8" s="18" t="str">
        <x:v>Energy / WEF</x:v>
      </x:c>
      <x:c r="B8" s="18" t="n">
        <x:f>COUNTIFS('Author Gap Coding'!$D$2:$D$54,"Energy / WEF nexus",'Author Gap Coding'!$F$2:$F$54,1)</x:f>
        <x:v>3</x:v>
      </x:c>
      <x:c r="C8" s="18" t="n">
        <x:f>COUNTIFS('Author Gap Coding'!$D$2:$D$54,"Energy / WEF nexus",'Author Gap Coding'!$G$2:$G$54,1)</x:f>
        <x:v>2</x:v>
      </x:c>
      <x:c r="D8" s="18" t="n">
        <x:f>COUNTIFS('Author Gap Coding'!$D$2:$D$54,"Energy / WEF nexus",'Author Gap Coding'!$H$2:$H$54,1)</x:f>
        <x:v>1</x:v>
      </x:c>
      <x:c r="E8" s="18" t="n">
        <x:f>COUNTIFS('Author Gap Coding'!$D$2:$D$54,"Energy / WEF nexus",'Author Gap Coding'!$I$2:$I$54,1)</x:f>
        <x:v>0</x:v>
      </x:c>
      <x:c r="F8" s="18" t="n">
        <x:f>COUNTIFS('Author Gap Coding'!$D$2:$D$54,"Energy / WEF nexus",'Author Gap Coding'!$J$2:$J$54,1)</x:f>
        <x:v>2</x:v>
      </x:c>
      <x:c r="G8" s="18" t="n">
        <x:f>COUNTIFS('Author Gap Coding'!$D$2:$D$54,"Energy / WEF nexus",'Author Gap Coding'!$K$2:$K$54,1)</x:f>
        <x:v>3</x:v>
      </x:c>
      <x:c r="H8" s="18" t="n">
        <x:f>COUNTIFS('Author Gap Coding'!$D$2:$D$54,"Energy / WEF nexus",'Author Gap Coding'!$L$2:$L$54,1)</x:f>
        <x:v>2</x:v>
      </x:c>
      <x:c r="I8" s="18" t="n">
        <x:f>COUNTIFS('Author Gap Coding'!$D$2:$D$54,"Energy / WEF nexus",'Author Gap Coding'!$M$2:$M$54,1)</x:f>
        <x:v>3</x:v>
      </x:c>
      <x:c r="J8" s="18" t="n">
        <x:v>5</x:v>
      </x:c>
    </x:row>
    <x:row r="9" ht="15" hidden="0" customHeight="1">
      <x:c r="A9" s="18" t="str">
        <x:v>Soil / environment</x:v>
      </x:c>
      <x:c r="B9" s="18" t="n">
        <x:f>COUNTIFS('Author Gap Coding'!$D$2:$D$54,"Soil / nutrient / environmental management",'Author Gap Coding'!$F$2:$F$54,1)</x:f>
        <x:v>3</x:v>
      </x:c>
      <x:c r="C9" s="18" t="n">
        <x:f>COUNTIFS('Author Gap Coding'!$D$2:$D$54,"Soil / nutrient / environmental management",'Author Gap Coding'!$G$2:$G$54,1)</x:f>
        <x:v>3</x:v>
      </x:c>
      <x:c r="D9" s="18" t="n">
        <x:f>COUNTIFS('Author Gap Coding'!$D$2:$D$54,"Soil / nutrient / environmental management",'Author Gap Coding'!$H$2:$H$54,1)</x:f>
        <x:v>3</x:v>
      </x:c>
      <x:c r="E9" s="18" t="n">
        <x:f>COUNTIFS('Author Gap Coding'!$D$2:$D$54,"Soil / nutrient / environmental management",'Author Gap Coding'!$I$2:$I$54,1)</x:f>
        <x:v>0</x:v>
      </x:c>
      <x:c r="F9" s="18" t="n">
        <x:f>COUNTIFS('Author Gap Coding'!$D$2:$D$54,"Soil / nutrient / environmental management",'Author Gap Coding'!$J$2:$J$54,1)</x:f>
        <x:v>1</x:v>
      </x:c>
      <x:c r="G9" s="18" t="n">
        <x:f>COUNTIFS('Author Gap Coding'!$D$2:$D$54,"Soil / nutrient / environmental management",'Author Gap Coding'!$K$2:$K$54,1)</x:f>
        <x:v>4</x:v>
      </x:c>
      <x:c r="H9" s="18" t="n">
        <x:f>COUNTIFS('Author Gap Coding'!$D$2:$D$54,"Soil / nutrient / environmental management",'Author Gap Coding'!$L$2:$L$54,1)</x:f>
        <x:v>1</x:v>
      </x:c>
      <x:c r="I9" s="18" t="n">
        <x:f>COUNTIFS('Author Gap Coding'!$D$2:$D$54,"Soil / nutrient / environmental management",'Author Gap Coding'!$M$2:$M$54,1)</x:f>
        <x:v>0</x:v>
      </x:c>
      <x:c r="J9" s="18" t="n">
        <x:v>4</x:v>
      </x:c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 ht="26.399999618530273" hidden="0" customHeight="1">
      <x:c r="A13" s="12" t="str">
        <x:v>Family-level evidence counts</x:v>
      </x:c>
      <x:c r="B13" s="12" t="str">
        <x:v>G1</x:v>
      </x:c>
      <x:c r="C13" s="12" t="str">
        <x:v>G2</x:v>
      </x:c>
      <x:c r="D13" s="12" t="str">
        <x:v>G3</x:v>
      </x:c>
      <x:c r="E13" s="12" t="str">
        <x:v>G4</x:v>
      </x:c>
      <x:c r="F13" s="12" t="str">
        <x:v>G5</x:v>
      </x:c>
      <x:c r="G13" s="12" t="str">
        <x:v>G6</x:v>
      </x:c>
      <x:c r="H13" s="12" t="str">
        <x:v>G7</x:v>
      </x:c>
      <x:c r="I13" s="12" t="str">
        <x:v>G8</x:v>
      </x:c>
      <x:c r="J13" s="12" t="str">
        <x:v>Family-domain total</x:v>
      </x:c>
    </x:row>
    <x:row r="14" ht="15" hidden="0" customHeight="1">
      <x:c r="A14" s="18" t="str">
        <x:v>Irrigation / water</x:v>
      </x:c>
      <x:c r="B14" s="18" t="n">
        <x:f>COUNTIFS('44 Family Map'!$D$2:$D$45,1,'44 Family Map'!$J$2:$J$45,1)</x:f>
        <x:v>11</x:v>
      </x:c>
      <x:c r="C14" s="18" t="n">
        <x:f>COUNTIFS('44 Family Map'!$D$2:$D$45,1,'44 Family Map'!$K$2:$K$45,1)</x:f>
        <x:v>11</x:v>
      </x:c>
      <x:c r="D14" s="18" t="n">
        <x:f>COUNTIFS('44 Family Map'!$D$2:$D$45,1,'44 Family Map'!$L$2:$L$45,1)</x:f>
        <x:v>14</x:v>
      </x:c>
      <x:c r="E14" s="18" t="n">
        <x:f>COUNTIFS('44 Family Map'!$D$2:$D$45,1,'44 Family Map'!$M$2:$M$45,1)</x:f>
        <x:v>4</x:v>
      </x:c>
      <x:c r="F14" s="18" t="n">
        <x:f>COUNTIFS('44 Family Map'!$D$2:$D$45,1,'44 Family Map'!$N$2:$N$45,1)</x:f>
        <x:v>5</x:v>
      </x:c>
      <x:c r="G14" s="18" t="n">
        <x:f>COUNTIFS('44 Family Map'!$D$2:$D$45,1,'44 Family Map'!$O$2:$O$45,1)</x:f>
        <x:v>8</x:v>
      </x:c>
      <x:c r="H14" s="18" t="n">
        <x:f>COUNTIFS('44 Family Map'!$D$2:$D$45,1,'44 Family Map'!$P$2:$P$45,1)</x:f>
        <x:v>4</x:v>
      </x:c>
      <x:c r="I14" s="18" t="n">
        <x:f>COUNTIFS('44 Family Map'!$D$2:$D$45,1,'44 Family Map'!$Q$2:$Q$45,1)</x:f>
        <x:v>11</x:v>
      </x:c>
      <x:c r="J14" s="18" t="n">
        <x:f>COUNTIF('44 Family Map'!$D$2:$D$45,1)</x:f>
        <x:v>20</x:v>
      </x:c>
    </x:row>
    <x:row r="15" ht="15" hidden="0" customHeight="1">
      <x:c r="A15" s="18" t="str">
        <x:v>Crop / farm</x:v>
      </x:c>
      <x:c r="B15" s="18" t="n">
        <x:f>COUNTIFS('44 Family Map'!$E$2:$E$45,1,'44 Family Map'!$J$2:$J$45,1)</x:f>
        <x:v>4</x:v>
      </x:c>
      <x:c r="C15" s="18" t="n">
        <x:f>COUNTIFS('44 Family Map'!$E$2:$E$45,1,'44 Family Map'!$K$2:$K$45,1)</x:f>
        <x:v>3</x:v>
      </x:c>
      <x:c r="D15" s="18" t="n">
        <x:f>COUNTIFS('44 Family Map'!$E$2:$E$45,1,'44 Family Map'!$L$2:$L$45,1)</x:f>
        <x:v>5</x:v>
      </x:c>
      <x:c r="E15" s="18" t="n">
        <x:f>COUNTIFS('44 Family Map'!$E$2:$E$45,1,'44 Family Map'!$M$2:$M$45,1)</x:f>
        <x:v>0</x:v>
      </x:c>
      <x:c r="F15" s="18" t="n">
        <x:f>COUNTIFS('44 Family Map'!$E$2:$E$45,1,'44 Family Map'!$N$2:$N$45,1)</x:f>
        <x:v>1</x:v>
      </x:c>
      <x:c r="G15" s="18" t="n">
        <x:f>COUNTIFS('44 Family Map'!$E$2:$E$45,1,'44 Family Map'!$O$2:$O$45,1)</x:f>
        <x:v>5</x:v>
      </x:c>
      <x:c r="H15" s="18" t="n">
        <x:f>COUNTIFS('44 Family Map'!$E$2:$E$45,1,'44 Family Map'!$P$2:$P$45,1)</x:f>
        <x:v>3</x:v>
      </x:c>
      <x:c r="I15" s="18" t="n">
        <x:f>COUNTIFS('44 Family Map'!$E$2:$E$45,1,'44 Family Map'!$Q$2:$Q$45,1)</x:f>
        <x:v>2</x:v>
      </x:c>
      <x:c r="J15" s="18" t="n">
        <x:f>COUNTIF('44 Family Map'!$E$2:$E$45,1)</x:f>
        <x:v>8</x:v>
      </x:c>
    </x:row>
    <x:row r="16" ht="15" hidden="0" customHeight="1">
      <x:c r="A16" s="18" t="str">
        <x:v>Livestock / integrated</x:v>
      </x:c>
      <x:c r="B16" s="18" t="n">
        <x:f>COUNTIFS('44 Family Map'!$F$2:$F$45,1,'44 Family Map'!$J$2:$J$45,1)</x:f>
        <x:v>2</x:v>
      </x:c>
      <x:c r="C16" s="18" t="n">
        <x:f>COUNTIFS('44 Family Map'!$F$2:$F$45,1,'44 Family Map'!$K$2:$K$45,1)</x:f>
        <x:v>5</x:v>
      </x:c>
      <x:c r="D16" s="18" t="n">
        <x:f>COUNTIFS('44 Family Map'!$F$2:$F$45,1,'44 Family Map'!$L$2:$L$45,1)</x:f>
        <x:v>3</x:v>
      </x:c>
      <x:c r="E16" s="18" t="n">
        <x:f>COUNTIFS('44 Family Map'!$F$2:$F$45,1,'44 Family Map'!$M$2:$M$45,1)</x:f>
        <x:v>0</x:v>
      </x:c>
      <x:c r="F16" s="18" t="n">
        <x:f>COUNTIFS('44 Family Map'!$F$2:$F$45,1,'44 Family Map'!$N$2:$N$45,1)</x:f>
        <x:v>2</x:v>
      </x:c>
      <x:c r="G16" s="18" t="n">
        <x:f>COUNTIFS('44 Family Map'!$F$2:$F$45,1,'44 Family Map'!$O$2:$O$45,1)</x:f>
        <x:v>3</x:v>
      </x:c>
      <x:c r="H16" s="18" t="n">
        <x:f>COUNTIFS('44 Family Map'!$F$2:$F$45,1,'44 Family Map'!$P$2:$P$45,1)</x:f>
        <x:v>3</x:v>
      </x:c>
      <x:c r="I16" s="18" t="n">
        <x:f>COUNTIFS('44 Family Map'!$F$2:$F$45,1,'44 Family Map'!$Q$2:$Q$45,1)</x:f>
        <x:v>2</x:v>
      </x:c>
      <x:c r="J16" s="18" t="n">
        <x:f>COUNTIF('44 Family Map'!$F$2:$F$45,1)</x:f>
        <x:v>6</x:v>
      </x:c>
    </x:row>
    <x:row r="17" ht="15" hidden="0" customHeight="1">
      <x:c r="A17" s="18" t="str">
        <x:v>Workforce / robotics</x:v>
      </x:c>
      <x:c r="B17" s="18" t="n">
        <x:f>COUNTIFS('44 Family Map'!$G$2:$G$45,1,'44 Family Map'!$J$2:$J$45,1)</x:f>
        <x:v>1</x:v>
      </x:c>
      <x:c r="C17" s="18" t="n">
        <x:f>COUNTIFS('44 Family Map'!$G$2:$G$45,1,'44 Family Map'!$K$2:$K$45,1)</x:f>
        <x:v>1</x:v>
      </x:c>
      <x:c r="D17" s="18" t="n">
        <x:f>COUNTIFS('44 Family Map'!$G$2:$G$45,1,'44 Family Map'!$L$2:$L$45,1)</x:f>
        <x:v>2</x:v>
      </x:c>
      <x:c r="E17" s="18" t="n">
        <x:f>COUNTIFS('44 Family Map'!$G$2:$G$45,1,'44 Family Map'!$M$2:$M$45,1)</x:f>
        <x:v>3</x:v>
      </x:c>
      <x:c r="F17" s="18" t="n">
        <x:f>COUNTIFS('44 Family Map'!$G$2:$G$45,1,'44 Family Map'!$N$2:$N$45,1)</x:f>
        <x:v>3</x:v>
      </x:c>
      <x:c r="G17" s="18" t="n">
        <x:f>COUNTIFS('44 Family Map'!$G$2:$G$45,1,'44 Family Map'!$O$2:$O$45,1)</x:f>
        <x:v>0</x:v>
      </x:c>
      <x:c r="H17" s="18" t="n">
        <x:f>COUNTIFS('44 Family Map'!$G$2:$G$45,1,'44 Family Map'!$P$2:$P$45,1)</x:f>
        <x:v>0</x:v>
      </x:c>
      <x:c r="I17" s="18" t="n">
        <x:f>COUNTIFS('44 Family Map'!$G$2:$G$45,1,'44 Family Map'!$Q$2:$Q$45,1)</x:f>
        <x:v>0</x:v>
      </x:c>
      <x:c r="J17" s="18" t="n">
        <x:f>COUNTIF('44 Family Map'!$G$2:$G$45,1)</x:f>
        <x:v>4</x:v>
      </x:c>
    </x:row>
    <x:row r="18" ht="15" hidden="0" customHeight="1">
      <x:c r="A18" s="18" t="str">
        <x:v>Energy / WEF</x:v>
      </x:c>
      <x:c r="B18" s="18" t="n">
        <x:f>COUNTIFS('44 Family Map'!$H$2:$H$45,1,'44 Family Map'!$J$2:$J$45,1)</x:f>
        <x:v>2</x:v>
      </x:c>
      <x:c r="C18" s="18" t="n">
        <x:f>COUNTIFS('44 Family Map'!$H$2:$H$45,1,'44 Family Map'!$K$2:$K$45,1)</x:f>
        <x:v>2</x:v>
      </x:c>
      <x:c r="D18" s="18" t="n">
        <x:f>COUNTIFS('44 Family Map'!$H$2:$H$45,1,'44 Family Map'!$L$2:$L$45,1)</x:f>
        <x:v>2</x:v>
      </x:c>
      <x:c r="E18" s="18" t="n">
        <x:f>COUNTIFS('44 Family Map'!$H$2:$H$45,1,'44 Family Map'!$M$2:$M$45,1)</x:f>
        <x:v>0</x:v>
      </x:c>
      <x:c r="F18" s="18" t="n">
        <x:f>COUNTIFS('44 Family Map'!$H$2:$H$45,1,'44 Family Map'!$N$2:$N$45,1)</x:f>
        <x:v>2</x:v>
      </x:c>
      <x:c r="G18" s="18" t="n">
        <x:f>COUNTIFS('44 Family Map'!$H$2:$H$45,1,'44 Family Map'!$O$2:$O$45,1)</x:f>
        <x:v>3</x:v>
      </x:c>
      <x:c r="H18" s="18" t="n">
        <x:f>COUNTIFS('44 Family Map'!$H$2:$H$45,1,'44 Family Map'!$P$2:$P$45,1)</x:f>
        <x:v>2</x:v>
      </x:c>
      <x:c r="I18" s="18" t="n">
        <x:f>COUNTIFS('44 Family Map'!$H$2:$H$45,1,'44 Family Map'!$Q$2:$Q$45,1)</x:f>
        <x:v>2</x:v>
      </x:c>
      <x:c r="J18" s="18" t="n">
        <x:f>COUNTIF('44 Family Map'!$H$2:$H$45,1)</x:f>
        <x:v>3</x:v>
      </x:c>
    </x:row>
    <x:row r="19" ht="15" hidden="0" customHeight="1">
      <x:c r="A19" s="18" t="str">
        <x:v>Soil / environment</x:v>
      </x:c>
      <x:c r="B19" s="18" t="n">
        <x:f>COUNTIFS('44 Family Map'!$I$2:$I$45,1,'44 Family Map'!$J$2:$J$45,1)</x:f>
        <x:v>3</x:v>
      </x:c>
      <x:c r="C19" s="18" t="n">
        <x:f>COUNTIFS('44 Family Map'!$I$2:$I$45,1,'44 Family Map'!$K$2:$K$45,1)</x:f>
        <x:v>3</x:v>
      </x:c>
      <x:c r="D19" s="18" t="n">
        <x:f>COUNTIFS('44 Family Map'!$I$2:$I$45,1,'44 Family Map'!$L$2:$L$45,1)</x:f>
        <x:v>3</x:v>
      </x:c>
      <x:c r="E19" s="18" t="n">
        <x:f>COUNTIFS('44 Family Map'!$I$2:$I$45,1,'44 Family Map'!$M$2:$M$45,1)</x:f>
        <x:v>0</x:v>
      </x:c>
      <x:c r="F19" s="18" t="n">
        <x:f>COUNTIFS('44 Family Map'!$I$2:$I$45,1,'44 Family Map'!$N$2:$N$45,1)</x:f>
        <x:v>1</x:v>
      </x:c>
      <x:c r="G19" s="18" t="n">
        <x:f>COUNTIFS('44 Family Map'!$I$2:$I$45,1,'44 Family Map'!$O$2:$O$45,1)</x:f>
        <x:v>4</x:v>
      </x:c>
      <x:c r="H19" s="18" t="n">
        <x:f>COUNTIFS('44 Family Map'!$I$2:$I$45,1,'44 Family Map'!$P$2:$P$45,1)</x:f>
        <x:v>1</x:v>
      </x:c>
      <x:c r="I19" s="18" t="n">
        <x:f>COUNTIFS('44 Family Map'!$I$2:$I$45,1,'44 Family Map'!$Q$2:$Q$45,1)</x:f>
        <x:v>0</x:v>
      </x:c>
      <x:c r="J19" s="18" t="n">
        <x:f>COUNTIF('44 Family Map'!$I$2:$I$45,1)</x:f>
        <x:v>4</x:v>
      </x:c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J1"/>
  </x:mergeCells>
  <x:conditionalFormatting sqref="B4:I9">
    <x:cfRule type="colorScale" priority="1">
      <x:colorScale>
        <x:cfvo type="min"/>
        <x:cfvo type="percentile" val="50"/>
        <x:cfvo type="max"/>
        <x:color rgb="FFFFFFFF"/>
        <x:color rgb="FFDCE6EF"/>
        <x:color rgb="FF41789A"/>
      </x:colorScale>
    </x:cfRule>
  </x:conditionalFormatting>
  <x:conditionalFormatting sqref="B14:I19">
    <x:cfRule type="colorScale" priority="2">
      <x:colorScale>
        <x:cfvo type="min"/>
        <x:cfvo type="percentile" val="50"/>
        <x:cfvo type="max"/>
        <x:color rgb="FFFFFFFF"/>
        <x:color rgb="FFDCE6EF"/>
        <x:color rgb="FF41789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6" hidden="0" customWidth="1"/>
    <x:col min="4" max="4" width="45" hidden="0" customWidth="1"/>
    <x:col min="5" max="5" width="45" hidden="0" customWidth="1"/>
    <x:col min="6" max="6" width="28" hidden="0" customWidth="1"/>
    <x:col min="7" max="7" width="54" hidden="0" customWidth="1"/>
    <x:col min="8" max="8" width="50" hidden="0" customWidth="1"/>
  </x:cols>
  <x:sheetData>
    <x:row r="1" ht="18" hidden="0" customHeight="1">
      <x:c r="A1" s="4" t="str">
        <x:v>Triangulation of final research-gap priorities</x:v>
      </x:c>
      <x:c r="B1" s="4"/>
      <x:c r="C1" s="4"/>
      <x:c r="D1" s="4"/>
      <x:c r="E1" s="4"/>
      <x:c r="F1" s="4"/>
      <x:c r="G1" s="4"/>
      <x:c r="H1" s="4"/>
    </x:row>
    <x:row r="2"/>
    <x:row r="3" ht="15" hidden="0" customHeight="1">
      <x:c r="A3" s="12" t="str">
        <x:v>Gap ID</x:v>
      </x:c>
      <x:c r="B3" s="12" t="str">
        <x:v>Priority</x:v>
      </x:c>
      <x:c r="C3" s="12" t="str">
        <x:v>Author-reported evidence</x:v>
      </x:c>
      <x:c r="D3" s="12" t="str">
        <x:v>Corpus / Step 6H evidence</x:v>
      </x:c>
      <x:c r="E3" s="12" t="str">
        <x:v>RQ0–RQ4 synthesis evidence</x:v>
      </x:c>
      <x:c r="F3" s="12" t="str">
        <x:v>Triangulation decision</x:v>
      </x:c>
      <x:c r="G3" s="12" t="str">
        <x:v>Safe conclusion</x:v>
      </x:c>
      <x:c r="H3" s="12" t="str">
        <x:v>Do not claim</x:v>
      </x:c>
    </x:row>
    <x:row r="4" ht="52.79999923706055" hidden="0" customHeight="1">
      <x:c r="A4" s="18" t="str">
        <x:v>RG1</x:v>
      </x:c>
      <x:c r="B4" s="18" t="str">
        <x:v>A — High</x:v>
      </x:c>
      <x:c r="C4" s="18" t="str">
        <x:v>28/53 publications; 23/44 families</x:v>
      </x:c>
      <x:c r="D4" s="18" t="str">
        <x:v>46/53 publications are simulation maturity; 51/53 are source-coded as no real-world deployment. Real-world-validation limitations are pervasive in the extraction.</x:v>
      </x:c>
      <x:c r="E4" s="18" t="str">
        <x:v>Simulation-dominated evaluation and deployment uncertainty are central RQ4 findings.</x:v>
      </x:c>
      <x:c r="F4" s="18" t="str">
        <x:v>Promote to final SLR gap</x:v>
      </x:c>
      <x:c r="G4" s="18" t="str">
        <x:v>Move from predominantly simulated evidence toward prospective, multi-season and multi-site farm or territorial evaluation, with clearly documented operational conditions.</x:v>
      </x:c>
      <x:c r="H4" s="18" t="str">
        <x:v>Do not equate field-related data, calibration, a prototype, or a field-pilot label with independently demonstrated operational effectiveness.</x:v>
      </x:c>
    </x:row>
    <x:row r="5" ht="52.79999923706055" hidden="0" customHeight="1">
      <x:c r="A5" s="18" t="str">
        <x:v>RG2</x:v>
      </x:c>
      <x:c r="B5" s="18" t="str">
        <x:v>A — High</x:v>
      </x:c>
      <x:c r="C5" s="18" t="str">
        <x:v>29/53 publications; 28/44 families</x:v>
      </x:c>
      <x:c r="D5" s="18" t="str">
        <x:v>Uncertainty/transfer limitations recur across the extraction; 21/53 RQ3 outcomes are mixed/trade-off/scenario-dependent, reinforcing context sensitivity.</x:v>
      </x:c>
      <x:c r="E5" s="18" t="str">
        <x:v>RQ3 outcomes are often mixed/conditional; RQ4 repeatedly identifies uncertainty and limited transfer.</x:v>
      </x:c>
      <x:c r="F5" s="18" t="str">
        <x:v>Promote to final SLR gap</x:v>
      </x:c>
      <x:c r="G5" s="18" t="str">
        <x:v>Evaluate sensitivity and transfer across weather, soils, crops, prices, sensor noise, behavioural heterogeneity, model structure and non-stationary resource demand.</x:v>
      </x:c>
      <x:c r="H5" s="18" t="str">
        <x:v>A result under one historical/scenario configuration should not be generalised across farms, regions or seasons without robustness evidence.</x:v>
      </x:c>
    </x:row>
    <x:row r="6" ht="39.599998474121094" hidden="0" customHeight="1">
      <x:c r="A6" s="18" t="str">
        <x:v>RG3</x:v>
      </x:c>
      <x:c r="B6" s="18" t="str">
        <x:v>A — High</x:v>
      </x:c>
      <x:c r="C6" s="18" t="str">
        <x:v>25/53 publications; 24/44 families</x:v>
      </x:c>
      <x:c r="D6" s="18" t="str">
        <x:v>Farmer/household/producer roles occur in 33/53 publications, while 25 publications (24 families) explicitly call for richer behavioural, stakeholder or social grounding.</x:v>
      </x:c>
      <x:c r="E6" s="18" t="str">
        <x:v>RQ1/RQ2 show farmer and institutional actors are central to many systems, making behavioural validity consequential.</x:v>
      </x:c>
      <x:c r="F6" s="18" t="str">
        <x:v>Promote to final SLR gap</x:v>
      </x:c>
      <x:c r="G6" s="18" t="str">
        <x:v>Empirically ground farmer, worker and institutional decision rules, preferences, learning, cooperation and legitimacy through stakeholder data and participatory validation.</x:v>
      </x:c>
      <x:c r="H6" s="18" t="str">
        <x:v>More behavioural detail is not automatically better; added mechanisms should be evidence-grounded and relevant to the decision problem.</x:v>
      </x:c>
    </x:row>
    <x:row r="7" ht="52.79999923706055" hidden="0" customHeight="1">
      <x:c r="A7" s="18" t="str">
        <x:v>RG4</x:v>
      </x:c>
      <x:c r="B7" s="18" t="str">
        <x:v>A — High</x:v>
      </x:c>
      <x:c r="C7" s="18" t="str">
        <x:v>23/53 publications; 22/44 families</x:v>
      </x:c>
      <x:c r="D7" s="18" t="str">
        <x:v>39/53 publications directly address sustainability, but environmental-model limitations are common and outcome directions remain frequently mixed or conditional.</x:v>
      </x:c>
      <x:c r="E7" s="18" t="str">
        <x:v>RQ3 distinguishes reported environmental outcomes from demonstrated improvements; RQ4 identifies environmental-model limitations.</x:v>
      </x:c>
      <x:c r="F7" s="18" t="str">
        <x:v>Promote to final SLR gap</x:v>
      </x:c>
      <x:c r="G7" s="18" t="str">
        <x:v>Couple MAS decisions to credible crop, soil, hydrological, livestock, nutrient, emission and long-horizon environmental dynamics, and evaluate trade-offs rather than assuming objective gains imply sustainability.</x:v>
      </x:c>
      <x:c r="H7" s="18" t="str">
        <x:v>Environmental outcomes described in a model are not equivalent to measured environmental improvement.</x:v>
      </x:c>
    </x:row>
    <x:row r="8" ht="39.599998474121094" hidden="0" customHeight="1">
      <x:c r="A8" s="18" t="str">
        <x:v>RG5</x:v>
      </x:c>
      <x:c r="B8" s="18" t="str">
        <x:v>A — High</x:v>
      </x:c>
      <x:c r="C8" s="18" t="str">
        <x:v>Not frequency-coded as an author theme</x:v>
      </x:c>
      <x:c r="D8" s="18" t="str">
        <x:v>Reported code availability is 8/53 and reported data availability is 14/53; reproducibility/data-availability limitations are coded in 18/53 publications.</x:v>
      </x:c>
      <x:c r="E8" s="18" t="str">
        <x:v>RQ4 reports limited code/data availability, restricting independent replication and cross-study comparison.</x:v>
      </x:c>
      <x:c r="F8" s="18" t="str">
        <x:v>Promote to final SLR gap</x:v>
      </x:c>
      <x:c r="G8" s="18" t="str">
        <x:v>Release or document code, data, parameters, seeds, model assumptions, scenarios and evaluation procedures sufficiently for independent inspection and replication where licensing permits.</x:v>
      </x:c>
      <x:c r="H8" s="18" t="str">
        <x:v>This is primarily a corpus/synthesis-derived gap; it should not be presented as an author-reported theme frequency.</x:v>
      </x:c>
    </x:row>
    <x:row r="9" ht="52.79999923706055" hidden="0" customHeight="1">
      <x:c r="A9" s="18" t="str">
        <x:v>RG6</x:v>
      </x:c>
      <x:c r="B9" s="18" t="str">
        <x:v>A — High</x:v>
      </x:c>
      <x:c r="C9" s="18" t="str">
        <x:v>9/53 publications; 7/44 families</x:v>
      </x:c>
      <x:c r="D9" s="18" t="str">
        <x:v>Comparator descriptions are heterogeneous: algorithmic benchmarks, historical practice, scenario contrasts and calibration must not be treated as equivalent evidence.</x:v>
      </x:c>
      <x:c r="E9" s="18" t="str">
        <x:v>RQ4 comparator adjudication shows scenario, calibration, algorithmic and operational comparisons support different strengths of inference.</x:v>
      </x:c>
      <x:c r="F9" s="18" t="str">
        <x:v>Promote to final SLR gap</x:v>
      </x:c>
      <x:c r="G9" s="18" t="str">
        <x:v>Use transparent comparators appropriate to the claim: operational practice, non-MAS controls, accepted algorithms, ablations or policy baselines, and clearly distinguish scenario counterfactuals from empirical validation.</x:v>
      </x:c>
      <x:c r="H9" s="18" t="str">
        <x:v>A populated comparator field or an alternative scenario does not automatically constitute a rigorous experimental control.</x:v>
      </x:c>
    </x:row>
    <x:row r="10" ht="52.79999923706055" hidden="0" customHeight="1">
      <x:c r="A10" s="18" t="str">
        <x:v>RG7</x:v>
      </x:c>
      <x:c r="B10" s="18" t="str">
        <x:v>B — Important</x:v>
      </x:c>
      <x:c r="C10" s="18" t="str">
        <x:v>14/53 publications; 13/44 families</x:v>
      </x:c>
      <x:c r="D10" s="18" t="str">
        <x:v>Computational-requirement and scalability limitations recur, while several recent studies explicitly call for real-time, sensing, edge, state-estimation or larger-scale evaluation.</x:v>
      </x:c>
      <x:c r="E10" s="18" t="str">
        <x:v>RQ4 limitation coding and several recent studies explicitly identify compute, scale, sensing and real-time constraints.</x:v>
      </x:c>
      <x:c r="F10" s="18" t="str">
        <x:v>Include as important/context-dependent priority</x:v>
      </x:c>
      <x:c r="G10" s="18" t="str">
        <x:v>Quantify computation, communication, sensing/state-estimation, latency, edge/cloud constraints and failure robustness as systems scale to larger and more heterogeneous agricultural settings.</x:v>
      </x:c>
      <x:c r="H10" s="18" t="str">
        <x:v>Algorithmic scalability in simulation is not the same as deployability under real sensing, networking and actuation constraints.</x:v>
      </x:c>
    </x:row>
    <x:row r="11" ht="52.79999923706055" hidden="0" customHeight="1">
      <x:c r="A11" s="18" t="str">
        <x:v>RG8</x:v>
      </x:c>
      <x:c r="B11" s="18" t="str">
        <x:v>B — Important</x:v>
      </x:c>
      <x:c r="C11" s="18" t="str">
        <x:v>12/53 publications; 12/44 families</x:v>
      </x:c>
      <x:c r="D11" s="18" t="str">
        <x:v>27/53 publications are already integrated-system studies, but Step 6H shows uneven cross-domain coverage; energy/WEF has only three families and soil/environment four.</x:v>
      </x:c>
      <x:c r="E11" s="18" t="str">
        <x:v>RQ0/Step 6H show integrated-system work is substantial but uneven across domains and resource couplings.</x:v>
      </x:c>
      <x:c r="F11" s="18" t="str">
        <x:v>Include as important/context-dependent priority</x:v>
      </x:c>
      <x:c r="G11" s="18" t="str">
        <x:v>Extend coordination across interacting water, energy, nutrients, labour, machinery, livestock and land-use decisions where the agricultural problem genuinely requires integrated management.</x:v>
      </x:c>
      <x:c r="H11" s="18" t="str">
        <x:v>The corpus already contains many integrated-system papers; the gap is uneven and incomplete coupling, not a universal absence of integration.</x:v>
      </x:c>
    </x:row>
    <x:row r="12" ht="52.79999923706055" hidden="0" customHeight="1">
      <x:c r="A12" s="18" t="str">
        <x:v>RG9</x:v>
      </x:c>
      <x:c r="B12" s="18" t="str">
        <x:v>B — Important</x:v>
      </x:c>
      <x:c r="C12" s="18" t="str">
        <x:v>19/53 publications; 16/44 families</x:v>
      </x:c>
      <x:c r="D12" s="18" t="str">
        <x:v>Learning-based adaptive coordination appears in 9/53 publications and direct negotiation in 8/53; both are concentrated in particular domains rather than broadly validated.</x:v>
      </x:c>
      <x:c r="E12" s="18" t="str">
        <x:v>RQ2/Step 6H show several coordination paradigms but no universal mechanism; adaptive/distributed methods require context-specific evaluation.</x:v>
      </x:c>
      <x:c r="F12" s="18" t="str">
        <x:v>Include as important/context-dependent priority</x:v>
      </x:c>
      <x:c r="G12" s="18" t="str">
        <x:v>Evaluate learning, distributed optimisation, markets, negotiation and collective-governance mechanisms against simpler alternatives where uncertainty, decentralised ownership or shared resources justify them.</x:v>
      </x:c>
      <x:c r="H12" s="18" t="str">
        <x:v>Sparse use of a mechanism does not prove that more of that mechanism is needed; method choice must remain problem-driven.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44" hidden="0" customWidth="1"/>
    <x:col min="4" max="4" width="22" hidden="0" customWidth="1"/>
    <x:col min="5" max="5" width="18" hidden="0" customWidth="1"/>
    <x:col min="6" max="6" width="52" hidden="0" customWidth="1"/>
  </x:cols>
  <x:sheetData>
    <x:row r="1" ht="18" hidden="0" customHeight="1">
      <x:c r="A1" s="4" t="str">
        <x:v>Coverage-derived signals from Step 6H — interpreted cautiously</x:v>
      </x:c>
      <x:c r="B1" s="4"/>
      <x:c r="C1" s="4"/>
      <x:c r="D1" s="4"/>
      <x:c r="E1" s="4"/>
      <x:c r="F1" s="4"/>
    </x:row>
    <x:row r="2"/>
    <x:row r="3" ht="26.399999618530273" hidden="0" customHeight="1">
      <x:c r="A3" s="12" t="str">
        <x:v>Signal</x:v>
      </x:c>
      <x:c r="B3" s="12" t="str">
        <x:v>Evidence from taxonomy/evidence map</x:v>
      </x:c>
      <x:c r="C3" s="12" t="str">
        <x:v>Interpretation</x:v>
      </x:c>
      <x:c r="D3" s="12" t="str">
        <x:v>Promoted as standalone gap?</x:v>
      </x:c>
      <x:c r="E3" s="12" t="str">
        <x:v>Supports</x:v>
      </x:c>
      <x:c r="F3" s="12" t="str">
        <x:v>Reason</x:v>
      </x:c>
    </x:row>
    <x:row r="4" ht="26.399999618530273" hidden="0" customHeight="1">
      <x:c r="A4" s="18" t="str">
        <x:v>Simulation dominates all domains</x:v>
      </x:c>
      <x:c r="B4" s="18" t="str">
        <x:v>46/53 simulation maturity; irrigation 23/24 simulation; energy/WEF 5/5; soil/environment 4/4.</x:v>
      </x:c>
      <x:c r="C4" s="18" t="str">
        <x:v>Strong evidence deficit in prospective operational validation.</x:v>
      </x:c>
      <x:c r="D4" s="18" t="str">
        <x:v>Yes</x:v>
      </x:c>
      <x:c r="E4" s="18" t="str">
        <x:v>RG1</x:v>
      </x:c>
      <x:c r="F4" s="18" t="str">
        <x:v>Cross-domain and directly aligned with RQ4 limitations.</x:v>
      </x:c>
    </x:row>
    <x:row r="5" ht="26.399999618530273" hidden="0" customHeight="1">
      <x:c r="A5" s="18" t="str">
        <x:v>Energy/WEF evidence is narrow</x:v>
      </x:c>
      <x:c r="B5" s="18" t="str">
        <x:v>5 publications but only 3 families, all simulation.</x:v>
      </x:c>
      <x:c r="C5" s="18" t="str">
        <x:v>Evidence base is small and simulation-heavy.</x:v>
      </x:c>
      <x:c r="D5" s="18" t="str">
        <x:v>No</x:v>
      </x:c>
      <x:c r="E5" s="18" t="str">
        <x:v>RG1, RG8</x:v>
      </x:c>
      <x:c r="F5" s="18" t="str">
        <x:v>Supports validation and integration gaps, but small domain size alone does not prove a universal research need.</x:v>
      </x:c>
    </x:row>
    <x:row r="6" ht="26.399999618530273" hidden="0" customHeight="1">
      <x:c r="A6" s="18" t="str">
        <x:v>Soil/environment evidence is narrow</x:v>
      </x:c>
      <x:c r="B6" s="18" t="str">
        <x:v>4 publications / 4 families, all simulation.</x:v>
      </x:c>
      <x:c r="C6" s="18" t="str">
        <x:v>Long-horizon environmental claims need stronger empirical grounding.</x:v>
      </x:c>
      <x:c r="D6" s="18" t="str">
        <x:v>No</x:v>
      </x:c>
      <x:c r="E6" s="18" t="str">
        <x:v>RG1, RG4</x:v>
      </x:c>
      <x:c r="F6" s="18" t="str">
        <x:v>Useful supporting signal rather than a separate gap category.</x:v>
      </x:c>
    </x:row>
    <x:row r="7" ht="26.399999618530273" hidden="0" customHeight="1">
      <x:c r="A7" s="18" t="str">
        <x:v>Livestock/integrated outcome evidence is weakly directional</x:v>
      </x:c>
      <x:c r="B7" s="18" t="str">
        <x:v>0 favourable; 2 mixed; 3 descriptive; 1 no direct outcome in Step 6H.</x:v>
      </x:c>
      <x:c r="C7" s="18" t="str">
        <x:v>Outcome evidence is immature relative to decision-support activity.</x:v>
      </x:c>
      <x:c r="D7" s="18" t="str">
        <x:v>No</x:v>
      </x:c>
      <x:c r="E7" s="18" t="str">
        <x:v>RG1, RG4</x:v>
      </x:c>
      <x:c r="F7" s="18" t="str">
        <x:v>Supports stronger outcome validation; does not imply MAS is ineffective.</x:v>
      </x:c>
    </x:row>
    <x:row r="8" ht="39.599998474121094" hidden="0" customHeight="1">
      <x:c r="A8" s="18" t="str">
        <x:v>Workforce/robotics is structurally concentrated</x:v>
      </x:c>
      <x:c r="B8" s="18" t="str">
        <x:v>6/6 operational purpose; 5/6 centralised; no environment-mediated, peer, learning or negotiation mechanisms; no direct-sustainability-coded publications.</x:v>
      </x:c>
      <x:c r="C8" s="18" t="str">
        <x:v>Sustainability/human/environmental coupling is underrepresented in this subdomain.</x:v>
      </x:c>
      <x:c r="D8" s="18" t="str">
        <x:v>No</x:v>
      </x:c>
      <x:c r="E8" s="18" t="str">
        <x:v>RG3, RG4, RG8</x:v>
      </x:c>
      <x:c r="F8" s="18" t="str">
        <x:v>Some absent mechanisms may simply be inappropriate for task-allocation problems.</x:v>
      </x:c>
    </x:row>
    <x:row r="9" ht="26.399999618530273" hidden="0" customHeight="1">
      <x:c r="A9" s="18" t="str">
        <x:v>Learning and direct negotiation are relatively sparse</x:v>
      </x:c>
      <x:c r="B9" s="18" t="str">
        <x:v>Learning/MARL 9/53; direct negotiation 8/53; concentration is strongest in irrigation.</x:v>
      </x:c>
      <x:c r="C9" s="18" t="str">
        <x:v>Potential context-specific methodological opportunity.</x:v>
      </x:c>
      <x:c r="D9" s="18" t="str">
        <x:v>No</x:v>
      </x:c>
      <x:c r="E9" s="18" t="str">
        <x:v>RG9</x:v>
      </x:c>
      <x:c r="F9" s="18" t="str">
        <x:v>Sparse use is not evidence that these methods should be added everywhere.</x:v>
      </x:c>
    </x:row>
    <x:row r="10" ht="15" hidden="0" customHeight="1">
      <x:c r="A10" s="18" t="str">
        <x:v>Distributed architecture is rare</x:v>
      </x:c>
      <x:c r="B10" s="18" t="str">
        <x:v>2/53 publications.</x:v>
      </x:c>
      <x:c r="C10" s="18" t="str">
        <x:v>Architecture choice is strongly problem-dependent.</x:v>
      </x:c>
      <x:c r="D10" s="18" t="str">
        <x:v>No</x:v>
      </x:c>
      <x:c r="E10" s="18" t="str">
        <x:v>None directly</x:v>
      </x:c>
      <x:c r="F10" s="18" t="str">
        <x:v>Low prevalence alone is not a defensible research gap.</x:v>
      </x:c>
    </x:row>
    <x:row r="11" ht="15" hidden="0" customHeight="1">
      <x:c r="A11" s="18" t="str">
        <x:v>LLM-based MAS is rare</x:v>
      </x:c>
      <x:c r="B11" s="18" t="str">
        <x:v>1/53 publication.</x:v>
      </x:c>
      <x:c r="C11" s="18" t="str">
        <x:v>Emerging technology, not an evidence-based gap by itself.</x:v>
      </x:c>
      <x:c r="D11" s="18" t="str">
        <x:v>No</x:v>
      </x:c>
      <x:c r="E11" s="18" t="str">
        <x:v>RG3/RG5 only if used</x:v>
      </x:c>
      <x:c r="F11" s="18" t="str">
        <x:v>Novelty does not establish scientific need or superiority.</x:v>
      </x:c>
    </x:row>
    <x:row r="12" ht="26.399999618530273" hidden="0" customHeight="1">
      <x:c r="A12" s="18" t="str">
        <x:v>Decision-support/monitoring purpose is rare</x:v>
      </x:c>
      <x:c r="B12" s="18" t="str">
        <x:v>2/53 publications, both in livestock/integrated farming.</x:v>
      </x:c>
      <x:c r="C12" s="18" t="str">
        <x:v>Coverage is sparse but may reflect the review's coordination-focused scope.</x:v>
      </x:c>
      <x:c r="D12" s="18" t="str">
        <x:v>No</x:v>
      </x:c>
      <x:c r="E12" s="18" t="str">
        <x:v>RG3, RG7</x:v>
      </x:c>
      <x:c r="F12" s="18" t="str">
        <x:v>Do not infer that every domain needs conversational/monitoring MAS.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0" hidden="0" customWidth="1"/>
    <x:col min="3" max="3" width="65" hidden="0" customWidth="1"/>
    <x:col min="4" max="4" width="28" hidden="0" customWidth="1"/>
  </x:cols>
  <x:sheetData>
    <x:row r="1" ht="18" hidden="0" customHeight="1">
      <x:c r="A1" s="4" t="str">
        <x:v>Sparse evidence that should NOT be overstated as a research gap</x:v>
      </x:c>
      <x:c r="B1" s="4"/>
      <x:c r="C1" s="4"/>
      <x:c r="D1" s="4"/>
    </x:row>
    <x:row r="2"/>
    <x:row r="3" ht="15" hidden="0" customHeight="1">
      <x:c r="A3" s="12" t="str">
        <x:v>Claim to avoid</x:v>
      </x:c>
      <x:c r="B3" s="12" t="str">
        <x:v>Why it is not defensible</x:v>
      </x:c>
      <x:c r="C3" s="12" t="str">
        <x:v>Acceptable wording</x:v>
      </x:c>
      <x:c r="D3" s="12" t="str">
        <x:v>Related evidence</x:v>
      </x:c>
    </x:row>
    <x:row r="4" ht="39.599998474121094" hidden="0" customHeight="1">
      <x:c r="A4" s="18" t="str">
        <x:v>Agricultural MAS need more distributed architectures everywhere.</x:v>
      </x:c>
      <x:c r="B4" s="18" t="str">
        <x:v>Only two publications are distributed, but architecture suitability depends on control, ownership, communication and safety requirements.</x:v>
      </x:c>
      <x:c r="C4" s="18" t="str">
        <x:v>Distributed architectures are underrepresented in this corpus and may merit evaluation in applications where decentralised ownership or resilience makes them appropriate.</x:v>
      </x:c>
      <x:c r="D4" s="18" t="str">
        <x:v>Step 6H architecture map.</x:v>
      </x:c>
    </x:row>
    <x:row r="5" ht="26.399999618530273" hidden="0" customHeight="1">
      <x:c r="A5" s="18" t="str">
        <x:v>Future work should use MARL instead of rules/optimisation.</x:v>
      </x:c>
      <x:c r="B5" s="18" t="str">
        <x:v>Rule-based, utility, optimisation and learning methods solve different problems; the review does not show MARL is generally superior.</x:v>
      </x:c>
      <x:c r="C5" s="18" t="str">
        <x:v>Learning-based coordination is a comparatively small strand and should be compared against simpler methods where adaptation is genuinely required.</x:v>
      </x:c>
      <x:c r="D5" s="18" t="str">
        <x:v>RQ1/RQ2 and Step 6H.</x:v>
      </x:c>
    </x:row>
    <x:row r="6" ht="26.399999618530273" hidden="0" customHeight="1">
      <x:c r="A6" s="18" t="str">
        <x:v>Every sparse domain × mechanism cell is a research gap.</x:v>
      </x:c>
      <x:c r="B6" s="18" t="str">
        <x:v>Some combinations are absent because the mechanism is irrelevant to the agricultural task.</x:v>
      </x:c>
      <x:c r="C6" s="18" t="str">
        <x:v>Sparse cells identify evidence opportunities that require conceptual justification before being promoted as research gaps.</x:v>
      </x:c>
      <x:c r="D6" s="18" t="str">
        <x:v>Step 6H coverage rule.</x:v>
      </x:c>
    </x:row>
    <x:row r="7" ht="26.399999618530273" hidden="0" customHeight="1">
      <x:c r="A7" s="18" t="str">
        <x:v>More LLM agents are a major research gap.</x:v>
      </x:c>
      <x:c r="B7" s="18" t="str">
        <x:v>Only one LLM-based study is included, but novelty alone does not establish need or benefit.</x:v>
      </x:c>
      <x:c r="C7" s="18" t="str">
        <x:v>LLM-based MAS are emerging and require rigorous validation, reproducibility and human-oversight evidence before broader conclusions.</x:v>
      </x:c>
      <x:c r="D7" s="18" t="str">
        <x:v>RQ1 and RQ4.</x:v>
      </x:c>
    </x:row>
    <x:row r="8" ht="26.399999618530273" hidden="0" customHeight="1">
      <x:c r="A8" s="18" t="str">
        <x:v>More publications outside irrigation are automatically needed.</x:v>
      </x:c>
      <x:c r="B8" s="18" t="str">
        <x:v>Irrigation dominance may partly reflect genuine resource-allocation relevance and the review's scope.</x:v>
      </x:c>
      <x:c r="C8" s="18" t="str">
        <x:v>Evidence is less mature in several non-water domains; targeted work is most defensible where Step 6H also identifies validation or outcome limitations.</x:v>
      </x:c>
      <x:c r="D8" s="18" t="str">
        <x:v>Step 6H domain map.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D1"/>
  </x:mergeCells>
  <x:pageMargins left="0.7" right="0.7" top="0.75" bottom="0.75" header="0.3" footer="0.3"/>
</x:worksheet>
</file>