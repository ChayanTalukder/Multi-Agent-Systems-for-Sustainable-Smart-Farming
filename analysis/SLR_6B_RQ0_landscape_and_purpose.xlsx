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4d6b0e11a04a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y_Mapping" sheetId="1" r:id="Rda9280903a914d45"/>
    <x:sheet xmlns:r="http://schemas.openxmlformats.org/officeDocument/2006/relationships" name="Family_Mapping" sheetId="2" r:id="R386438760ecd4266"/>
    <x:sheet xmlns:r="http://schemas.openxmlformats.org/officeDocument/2006/relationships" name="RQ0_Summary" sheetId="3" r:id="R6878b4bb1f274266"/>
    <x:sheet xmlns:r="http://schemas.openxmlformats.org/officeDocument/2006/relationships" name="Temporal_Evolution" sheetId="4" r:id="Ra0eb81bb335e49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i/>
      <x:sz val="11"/>
      <x:color rgb="FF7F6000"/>
      <x:name val="Carlito"/>
    </x:font>
    <x:font>
      <x:b/>
      <x:sz val="11"/>
      <x:color rgb="FF1736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5B9BD5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f4055d9f2f43b9" /><Relationship Type="http://schemas.openxmlformats.org/officeDocument/2006/relationships/theme" Target="/xl/theme/theme1.xml" Id="R2f785bebe9744964" /><Relationship Type="http://schemas.openxmlformats.org/officeDocument/2006/relationships/sharedStrings" Target="/xl/sharedStrings.xml" Id="Re4972212b32a4fe6" /><Relationship Type="http://schemas.openxmlformats.org/officeDocument/2006/relationships/worksheet" Target="/xl/worksheets/sheet1.xml" Id="Rda9280903a914d45" /><Relationship Type="http://schemas.openxmlformats.org/officeDocument/2006/relationships/worksheet" Target="/xl/worksheets/sheet2.xml" Id="R386438760ecd4266" /><Relationship Type="http://schemas.openxmlformats.org/officeDocument/2006/relationships/worksheet" Target="/xl/worksheets/sheet3.xml" Id="R6878b4bb1f274266" /><Relationship Type="http://schemas.openxmlformats.org/officeDocument/2006/relationships/worksheet" Target="/xl/worksheets/sheet4.xml" Id="Ra0eb81bb335e49f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d2921a07adc45a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Primary MAS Purpose by Publication Period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Total publications</c:v>
          </c:tx>
          <c:cat>
            <c:strRef>
              <c:f>'Temporal_Evolution'!$A$5:$A$7</c:f>
              <c:strCache>
                <c:ptCount val="0"/>
              </c:strCache>
            </c:strRef>
          </c:cat>
          <c:val>
            <c:numRef>
              <c:f>'Temporal_Evolution'!$B$5:$B$7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Operational allocation/control</c:v>
          </c:tx>
          <c:cat>
            <c:strRef>
              <c:f>'Temporal_Evolution'!$A$5:$A$7</c:f>
              <c:strCache>
                <c:ptCount val="0"/>
              </c:strCache>
            </c:strRef>
          </c:cat>
          <c:val>
            <c:numRef>
              <c:f>'Temporal_Evolution'!$C$5:$C$7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Policy/scenario/socio-ecological</c:v>
          </c:tx>
          <c:cat>
            <c:strRef>
              <c:f>'Temporal_Evolution'!$A$5:$A$7</c:f>
              <c:strCache>
                <c:ptCount val="0"/>
              </c:strCache>
            </c:strRef>
          </c:cat>
          <c:val>
            <c:numRef>
              <c:f>'Temporal_Evolution'!$D$5:$D$7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Trading/negotiation/governance</c:v>
          </c:tx>
          <c:cat>
            <c:strRef>
              <c:f>'Temporal_Evolution'!$A$5:$A$7</c:f>
              <c:strCache>
                <c:ptCount val="0"/>
              </c:strCache>
            </c:strRef>
          </c:cat>
          <c:val>
            <c:numRef>
              <c:f>'Temporal_Evolution'!$E$5:$E$7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Decision support/monitoring</c:v>
          </c:tx>
          <c:cat>
            <c:strRef>
              <c:f>'Temporal_Evolution'!$A$5:$A$7</c:f>
              <c:strCache>
                <c:ptCount val="0"/>
              </c:strCache>
            </c:strRef>
          </c:cat>
          <c:val>
            <c:numRef>
              <c:f>'Temporal_Evolution'!$F$5:$F$7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d2921a07adc45a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d9adb1b9092c4766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2" hidden="0" customWidth="1"/>
    <x:col min="3" max="3" width="18" hidden="0" customWidth="1"/>
    <x:col min="4" max="4" width="8" hidden="0" customWidth="1"/>
    <x:col min="5" max="5" width="22" hidden="0" customWidth="1"/>
    <x:col min="6" max="6" width="34" hidden="0" customWidth="1"/>
    <x:col min="7" max="7" width="48" hidden="0" customWidth="1"/>
    <x:col min="8" max="8" width="20" hidden="0" customWidth="1"/>
    <x:col min="9" max="9" width="20" hidden="0" customWidth="1"/>
    <x:col min="10" max="10" width="20" hidden="0" customWidth="1"/>
    <x:col min="11" max="11" width="18" hidden="0" customWidth="1"/>
    <x:col min="12" max="12" width="42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60" hidden="0" customWidth="1"/>
    <x:col min="19" max="19" width="60" hidden="0" customWidth="1"/>
  </x:cols>
  <x:sheetData>
    <x:row r="1">
      <x:c r="A1" s="6" t="str">
        <x:v>Study_ID</x:v>
      </x:c>
      <x:c r="B1" s="6" t="str">
        <x:v>Study_Family_ID</x:v>
      </x:c>
      <x:c r="C1" s="6" t="str">
        <x:v>Corpus_Group</x:v>
      </x:c>
      <x:c r="D1" s="6" t="str">
        <x:v>Year</x:v>
      </x:c>
      <x:c r="E1" s="6" t="str">
        <x:v>Time_Period</x:v>
      </x:c>
      <x:c r="F1" s="6" t="str">
        <x:v>Primary_Domain</x:v>
      </x:c>
      <x:c r="G1" s="6" t="str">
        <x:v>Primary_Purpose_Category</x:v>
      </x:c>
      <x:c r="H1" s="6" t="str">
        <x:v>System_Integration_Scope</x:v>
      </x:c>
      <x:c r="I1" s="6" t="str">
        <x:v>Implementation_Maturity</x:v>
      </x:c>
      <x:c r="J1" s="6" t="str">
        <x:v>Sustainability_Addressed</x:v>
      </x:c>
      <x:c r="K1" s="6" t="str">
        <x:v>Resource_Constraint_Modelled</x:v>
      </x:c>
      <x:c r="L1" s="6" t="str">
        <x:v>Contribution_Type</x:v>
      </x:c>
      <x:c r="M1" s="6" t="str">
        <x:v>Simulation_Model</x:v>
      </x:c>
      <x:c r="N1" s="6" t="str">
        <x:v>Algorithm_Optimisation_Control</x:v>
      </x:c>
      <x:c r="O1" s="6" t="str">
        <x:v>DecisionSupport_Assessment_Policy</x:v>
      </x:c>
      <x:c r="P1" s="6" t="str">
        <x:v>Coordination_Allocation_Negotiation</x:v>
      </x:c>
      <x:c r="Q1" s="6" t="str">
        <x:v>Platform_Architecture</x:v>
      </x:c>
      <x:c r="R1" s="6" t="str">
        <x:v>MAS_Application_Purpose</x:v>
      </x:c>
      <x:c r="S1" s="6" t="str">
        <x:v>Title</x:v>
      </x:c>
    </x:row>
    <x:row r="2">
      <x:c r="A2" t="str">
        <x:v>S01</x:v>
      </x:c>
      <x:c r="B2" t="str">
        <x:v>SF01</x:v>
      </x:c>
      <x:c r="C2" t="str">
        <x:v>Original 34</x:v>
      </x:c>
      <x:c r="D2" t="n">
        <x:v>2018</x:v>
      </x:c>
      <x:c r="E2" t="str">
        <x:v>2010–2019</x:v>
      </x:c>
      <x:c r="F2" t="str">
        <x:v>Livestock / integrated farming</x:v>
      </x:c>
      <x:c r="G2" t="str">
        <x:v>Policy, scenario &amp; socio-ecological impact assessment</x:v>
      </x:c>
      <x:c r="H2" t="str">
        <x:v>Integrated-system</x:v>
      </x:c>
      <x:c r="I2" t="str">
        <x:v>Simulation</x:v>
      </x:c>
      <x:c r="J2" t="str">
        <x:v>Direct</x:v>
      </x:c>
      <x:c r="K2" t="str">
        <x:v>Yes</x:v>
      </x:c>
      <x:c r="L2" t="str">
        <x:v>Simulation model; Decision-support/virtual-lab framework</x:v>
      </x:c>
      <x:c r="M2" t="str">
        <x:v>Yes</x:v>
      </x:c>
      <x:c r="N2" t="str">
        <x:v>No</x:v>
      </x:c>
      <x:c r="O2" t="str">
        <x:v>Yes</x:v>
      </x:c>
      <x:c r="P2" t="str">
        <x:v>No</x:v>
      </x:c>
      <x:c r="Q2" t="str">
        <x:v>No</x:v>
      </x:c>
      <x:c r="R2" t="str">
        <x:v>Simulate feedbacks among pastoralist households, livestock and common-property pastures to explain when polarization and poverty traps emerge under changing economic and environmental conditions.</x:v>
      </x:c>
      <x:c r="S2" t="str">
        <x:v>Polarization in (post)nomadic resource use in Eastern Morocco: insights using a multi-agent simulation model</x:v>
      </x:c>
    </x:row>
    <x:row r="3">
      <x:c r="A3" t="str">
        <x:v>S02</x:v>
      </x:c>
      <x:c r="B3" t="str">
        <x:v>SF02</x:v>
      </x:c>
      <x:c r="C3" t="str">
        <x:v>Original 34</x:v>
      </x:c>
      <x:c r="D3" t="n">
        <x:v>2019</x:v>
      </x:c>
      <x:c r="E3" t="str">
        <x:v>2010–2019</x:v>
      </x:c>
      <x:c r="F3" t="str">
        <x:v>Crop / farm management</x:v>
      </x:c>
      <x:c r="G3" t="str">
        <x:v>Operational resource allocation, scheduling &amp; control</x:v>
      </x:c>
      <x:c r="H3" t="str">
        <x:v>Integrated-system</x:v>
      </x:c>
      <x:c r="I3" t="str">
        <x:v>Field pilot</x:v>
      </x:c>
      <x:c r="J3" t="str">
        <x:v>Indirect</x:v>
      </x:c>
      <x:c r="K3" t="str">
        <x:v>Yes</x:v>
      </x:c>
      <x:c r="L3" t="str">
        <x:v>Architecture; Platform/framework; Decision-support system; Coordination mechanism</x:v>
      </x:c>
      <x:c r="M3" t="str">
        <x:v>No</x:v>
      </x:c>
      <x:c r="N3" t="str">
        <x:v>No</x:v>
      </x:c>
      <x:c r="O3" t="str">
        <x:v>Yes</x:v>
      </x:c>
      <x:c r="P3" t="str">
        <x:v>Yes</x:v>
      </x:c>
      <x:c r="Q3" t="str">
        <x:v>Yes</x:v>
      </x:c>
      <x:c r="R3" t="str">
        <x:v>Coordinate smart agricultural services for monitoring, diagnosis, crop planning, resource allocation, scheduling and adaptive replanning of plant-growing enterprises.</x:v>
      </x:c>
      <x:c r="S3" t="str">
        <x:v>Smart Farming – Open Multi-agent Platform and Eco-System of Smart Services for Precision Farming</x:v>
      </x:c>
    </x:row>
    <x:row r="4">
      <x:c r="A4" t="str">
        <x:v>S03</x:v>
      </x:c>
      <x:c r="B4" t="str">
        <x:v>SF03</x:v>
      </x:c>
      <x:c r="C4" t="str">
        <x:v>Original 34</x:v>
      </x:c>
      <x:c r="D4" t="n">
        <x:v>2023</x:v>
      </x:c>
      <x:c r="E4" t="str">
        <x:v>2020–2026</x:v>
      </x:c>
      <x:c r="F4" t="str">
        <x:v>Crop / farm management</x:v>
      </x:c>
      <x:c r="G4" t="str">
        <x:v>Policy, scenario &amp; socio-ecological impact assessment</x:v>
      </x:c>
      <x:c r="H4" t="str">
        <x:v>Integrated-system</x:v>
      </x:c>
      <x:c r="I4" t="str">
        <x:v>Simulation</x:v>
      </x:c>
      <x:c r="J4" t="str">
        <x:v>Indirect</x:v>
      </x:c>
      <x:c r="K4" t="str">
        <x:v>Yes</x:v>
      </x:c>
      <x:c r="L4" t="str">
        <x:v>Simulation model; Decision-support/policy assessment; Optimisation method</x:v>
      </x:c>
      <x:c r="M4" t="str">
        <x:v>Yes</x:v>
      </x:c>
      <x:c r="N4" t="str">
        <x:v>Yes</x:v>
      </x:c>
      <x:c r="O4" t="str">
        <x:v>Yes</x:v>
      </x:c>
      <x:c r="P4" t="str">
        <x:v>No</x:v>
      </x:c>
      <x:c r="Q4" t="str">
        <x:v>No</x:v>
      </x:c>
      <x:c r="R4" t="str">
        <x:v>Simulate breeding, seed multiplication and farming decisions and their demand-supply feedbacks to evaluate interventions supporting the transition toward organic seed use.</x:v>
      </x:c>
      <x:c r="S4" t="str">
        <x:v>Assessing seed and breeding interventions for organic farming using a multiagent value chain approach</x:v>
      </x:c>
    </x:row>
    <x:row r="5">
      <x:c r="A5" t="str">
        <x:v>S04</x:v>
      </x:c>
      <x:c r="B5" t="str">
        <x:v>SF04</x:v>
      </x:c>
      <x:c r="C5" t="str">
        <x:v>Original 34</x:v>
      </x:c>
      <x:c r="D5" t="n">
        <x:v>2026</x:v>
      </x:c>
      <x:c r="E5" t="str">
        <x:v>2020–2026</x:v>
      </x:c>
      <x:c r="F5" t="str">
        <x:v>Livestock / integrated farming</x:v>
      </x:c>
      <x:c r="G5" t="str">
        <x:v>Decision support, monitoring &amp; diagnosis</x:v>
      </x:c>
      <x:c r="H5" t="str">
        <x:v>Single-domain</x:v>
      </x:c>
      <x:c r="I5" t="str">
        <x:v>Prototype</x:v>
      </x:c>
      <x:c r="J5" t="str">
        <x:v>Not addressed</x:v>
      </x:c>
      <x:c r="K5" t="str">
        <x:v>No</x:v>
      </x:c>
      <x:c r="L5" t="str">
        <x:v>Architecture; Decision-support system; Platform/framework</x:v>
      </x:c>
      <x:c r="M5" t="str">
        <x:v>No</x:v>
      </x:c>
      <x:c r="N5" t="str">
        <x:v>No</x:v>
      </x:c>
      <x:c r="O5" t="str">
        <x:v>Yes</x:v>
      </x:c>
      <x:c r="P5" t="str">
        <x:v>No</x:v>
      </x:c>
      <x:c r="Q5" t="str">
        <x:v>Yes</x:v>
      </x:c>
      <x:c r="R5" t="str">
        <x:v>Provide conversational, explainable decision support for identifying dairy-cattle social isolation and welfare-related risks using sensor-derived social-network information, simulation, and research evidence.</x:v>
      </x:c>
      <x:c r="S5" t="str">
        <x:v>CowNet-AI: A Multi-Agent Decision Support Framework for Social Network–Driven Welfare Insights in Dairy Cattle</x:v>
      </x:c>
    </x:row>
    <x:row r="6">
      <x:c r="A6" t="str">
        <x:v>S05</x:v>
      </x:c>
      <x:c r="B6" t="str">
        <x:v>SF05</x:v>
      </x:c>
      <x:c r="C6" t="str">
        <x:v>Original 34</x:v>
      </x:c>
      <x:c r="D6" t="n">
        <x:v>2024</x:v>
      </x:c>
      <x:c r="E6" t="str">
        <x:v>2020–2026</x:v>
      </x:c>
      <x:c r="F6" t="str">
        <x:v>Energy / WEF nexus</x:v>
      </x:c>
      <x:c r="G6" t="str">
        <x:v>Trading, negotiation &amp; collective-resource governance</x:v>
      </x:c>
      <x:c r="H6" t="str">
        <x:v>Single-domain</x:v>
      </x:c>
      <x:c r="I6" t="str">
        <x:v>Simulation</x:v>
      </x:c>
      <x:c r="J6" t="str">
        <x:v>Indirect</x:v>
      </x:c>
      <x:c r="K6" t="str">
        <x:v>Yes</x:v>
      </x:c>
      <x:c r="L6" t="str">
        <x:v>Algorithm; Simulation model; Coordination mechanism</x:v>
      </x:c>
      <x:c r="M6" t="str">
        <x:v>Yes</x:v>
      </x:c>
      <x:c r="N6" t="str">
        <x:v>Yes</x:v>
      </x:c>
      <x:c r="O6" t="str">
        <x:v>No</x:v>
      </x:c>
      <x:c r="P6" t="str">
        <x:v>Yes</x:v>
      </x:c>
      <x:c r="Q6" t="str">
        <x:v>No</x:v>
      </x:c>
      <x:c r="R6" t="str">
        <x:v>Enable dairy farms with renewable generation/storage to manage local energy and trade surplus/deficit electricity with peer farms through a distributed P2P market before using the utility grid.</x:v>
      </x:c>
      <x:c r="S6" t="str">
        <x:v>Peer-to-peer energy trading in dairy farms using multi-agent systems</x:v>
      </x:c>
    </x:row>
    <x:row r="7">
      <x:c r="A7" t="str">
        <x:v>S06</x:v>
      </x:c>
      <x:c r="B7" t="str">
        <x:v>SF06</x:v>
      </x:c>
      <x:c r="C7" t="str">
        <x:v>Original 34</x:v>
      </x:c>
      <x:c r="D7" t="n">
        <x:v>2022</x:v>
      </x:c>
      <x:c r="E7" t="str">
        <x:v>2020–2026</x:v>
      </x:c>
      <x:c r="F7" t="str">
        <x:v>Irrigation / water management</x:v>
      </x:c>
      <x:c r="G7" t="str">
        <x:v>Operational resource allocation, scheduling &amp; control</x:v>
      </x:c>
      <x:c r="H7" t="str">
        <x:v>Single-domain</x:v>
      </x:c>
      <x:c r="I7" t="str">
        <x:v>Field pilot</x:v>
      </x:c>
      <x:c r="J7" t="str">
        <x:v>Direct</x:v>
      </x:c>
      <x:c r="K7" t="str">
        <x:v>Yes</x:v>
      </x:c>
      <x:c r="L7" t="str">
        <x:v>Architecture; Control system; Decision-support system; Coordination mechanism; Platform/framework</x:v>
      </x:c>
      <x:c r="M7" t="str">
        <x:v>No</x:v>
      </x:c>
      <x:c r="N7" t="str">
        <x:v>Yes</x:v>
      </x:c>
      <x:c r="O7" t="str">
        <x:v>Yes</x:v>
      </x:c>
      <x:c r="P7" t="str">
        <x:v>Yes</x:v>
      </x:c>
      <x:c r="Q7" t="str">
        <x:v>Yes</x:v>
      </x:c>
      <x:c r="R7" t="str">
        <x:v>Autonomously prescribe/apply irrigation at field level, aggregate regional water demand, monitor dam supply and negotiate water allocation among irrigation agents when district water is insufficient.</x:v>
      </x:c>
      <x:c r="S7" t="str">
        <x:v>Intelligent IoT-multiagent precision irrigation approach for improving water use efficiency in irrigation systems at farm and district scales</x:v>
      </x:c>
    </x:row>
    <x:row r="8">
      <x:c r="A8" t="str">
        <x:v>S07</x:v>
      </x:c>
      <x:c r="B8" t="str">
        <x:v>SF07</x:v>
      </x:c>
      <x:c r="C8" t="str">
        <x:v>Original 34</x:v>
      </x:c>
      <x:c r="D8" t="n">
        <x:v>2024</x:v>
      </x:c>
      <x:c r="E8" t="str">
        <x:v>2020–2026</x:v>
      </x:c>
      <x:c r="F8" t="str">
        <x:v>Irrigation / water management</x:v>
      </x:c>
      <x:c r="G8" t="str">
        <x:v>Operational resource allocation, scheduling &amp; control</x:v>
      </x:c>
      <x:c r="H8" t="str">
        <x:v>Single-domain</x:v>
      </x:c>
      <x:c r="I8" t="str">
        <x:v>Simulation</x:v>
      </x:c>
      <x:c r="J8" t="str">
        <x:v>Direct</x:v>
      </x:c>
      <x:c r="K8" t="str">
        <x:v>Yes</x:v>
      </x:c>
      <x:c r="L8" t="str">
        <x:v>Algorithm; Control system; Optimisation method</x:v>
      </x:c>
      <x:c r="M8" t="str">
        <x:v>No</x:v>
      </x:c>
      <x:c r="N8" t="str">
        <x:v>Yes</x:v>
      </x:c>
      <x:c r="O8" t="str">
        <x:v>No</x:v>
      </x:c>
      <x:c r="P8" t="str">
        <x:v>No</x:v>
      </x:c>
      <x:c r="Q8" t="str">
        <x:v>No</x:v>
      </x:c>
      <x:c r="R8" t="str">
        <x:v>Determine daily irrigation timing and zone-specific irrigation amounts across field management zones while reducing water use and irrigation cost and maintaining crop water status.</x:v>
      </x:c>
      <x:c r="S8" t="str">
        <x:v>Learning-based multi-agent MPC for irrigation scheduling</x:v>
      </x:c>
    </x:row>
    <x:row r="9">
      <x:c r="A9" t="str">
        <x:v>S08</x:v>
      </x:c>
      <x:c r="B9" t="str">
        <x:v>SF08</x:v>
      </x:c>
      <x:c r="C9" t="str">
        <x:v>Original 34</x:v>
      </x:c>
      <x:c r="D9" t="n">
        <x:v>2025</x:v>
      </x:c>
      <x:c r="E9" t="str">
        <x:v>2020–2026</x:v>
      </x:c>
      <x:c r="F9" t="str">
        <x:v>Irrigation / water management</x:v>
      </x:c>
      <x:c r="G9" t="str">
        <x:v>Operational resource allocation, scheduling &amp; control</x:v>
      </x:c>
      <x:c r="H9" t="str">
        <x:v>Single-domain</x:v>
      </x:c>
      <x:c r="I9" t="str">
        <x:v>Simulation</x:v>
      </x:c>
      <x:c r="J9" t="str">
        <x:v>Direct</x:v>
      </x:c>
      <x:c r="K9" t="str">
        <x:v>Yes</x:v>
      </x:c>
      <x:c r="L9" t="str">
        <x:v>Architecture; Algorithm; Control system</x:v>
      </x:c>
      <x:c r="M9" t="str">
        <x:v>No</x:v>
      </x:c>
      <x:c r="N9" t="str">
        <x:v>Yes</x:v>
      </x:c>
      <x:c r="O9" t="str">
        <x:v>No</x:v>
      </x:c>
      <x:c r="P9" t="str">
        <x:v>No</x:v>
      </x:c>
      <x:c r="Q9" t="str">
        <x:v>Yes</x:v>
      </x:c>
      <x:c r="R9" t="str">
        <x:v>Coordinate daily irrigation timing and management-zone irrigation amounts for spatially variable fields using a hierarchical MARL architecture that improves water conservation and irrigation water-use efficiency.</x:v>
      </x:c>
      <x:c r="S9" t="str">
        <x:v>A semi-centralized multi-agent RL framework for efficient irrigation scheduling</x:v>
      </x:c>
    </x:row>
    <x:row r="10">
      <x:c r="A10" t="str">
        <x:v>S09</x:v>
      </x:c>
      <x:c r="B10" t="str">
        <x:v>SF09</x:v>
      </x:c>
      <x:c r="C10" t="str">
        <x:v>Original 34</x:v>
      </x:c>
      <x:c r="D10" t="n">
        <x:v>2024</x:v>
      </x:c>
      <x:c r="E10" t="str">
        <x:v>2020–2026</x:v>
      </x:c>
      <x:c r="F10" t="str">
        <x:v>Energy / WEF nexus</x:v>
      </x:c>
      <x:c r="G10" t="str">
        <x:v>Operational resource allocation, scheduling &amp; control</x:v>
      </x:c>
      <x:c r="H10" t="str">
        <x:v>Single-domain</x:v>
      </x:c>
      <x:c r="I10" t="str">
        <x:v>Simulation</x:v>
      </x:c>
      <x:c r="J10" t="str">
        <x:v>Direct</x:v>
      </x:c>
      <x:c r="K10" t="str">
        <x:v>Yes</x:v>
      </x:c>
      <x:c r="L10" t="str">
        <x:v>Algorithm; Control system; Coordination mechanism</x:v>
      </x:c>
      <x:c r="M10" t="str">
        <x:v>No</x:v>
      </x:c>
      <x:c r="N10" t="str">
        <x:v>Yes</x:v>
      </x:c>
      <x:c r="O10" t="str">
        <x:v>No</x:v>
      </x:c>
      <x:c r="P10" t="str">
        <x:v>Yes</x:v>
      </x:c>
      <x:c r="Q10" t="str">
        <x:v>No</x:v>
      </x:c>
      <x:c r="R10" t="str">
        <x:v>Coordinate greenhouse battery/grid energy decisions to reduce net grid demand and operating cost while maintaining indoor climate conditions for crop growth.</x:v>
      </x:c>
      <x:c r="S10" t="str">
        <x:v>Energy management for demand response in networked greenhouses with multi-agent deep reinforcement learning</x:v>
      </x:c>
    </x:row>
    <x:row r="11">
      <x:c r="A11" t="str">
        <x:v>S10</x:v>
      </x:c>
      <x:c r="B11" t="str">
        <x:v>SF10</x:v>
      </x:c>
      <x:c r="C11" t="str">
        <x:v>Original 34</x:v>
      </x:c>
      <x:c r="D11" t="n">
        <x:v>2011</x:v>
      </x:c>
      <x:c r="E11" t="str">
        <x:v>2010–2019</x:v>
      </x:c>
      <x:c r="F11" t="str">
        <x:v>Livestock / integrated farming</x:v>
      </x:c>
      <x:c r="G11" t="str">
        <x:v>Policy, scenario &amp; socio-ecological impact assessment</x:v>
      </x:c>
      <x:c r="H11" t="str">
        <x:v>Integrated-system</x:v>
      </x:c>
      <x:c r="I11" t="str">
        <x:v>Simulation</x:v>
      </x:c>
      <x:c r="J11" t="str">
        <x:v>Direct</x:v>
      </x:c>
      <x:c r="K11" t="str">
        <x:v>Yes</x:v>
      </x:c>
      <x:c r="L11" t="str">
        <x:v>Simulation model; Platform/framework</x:v>
      </x:c>
      <x:c r="M11" t="str">
        <x:v>Yes</x:v>
      </x:c>
      <x:c r="N11" t="str">
        <x:v>No</x:v>
      </x:c>
      <x:c r="O11" t="str">
        <x:v>No</x:v>
      </x:c>
      <x:c r="P11" t="str">
        <x:v>No</x:v>
      </x:c>
      <x:c r="Q11" t="str">
        <x:v>Yes</x:v>
      </x:c>
      <x:c r="R11" t="str">
        <x:v>Simulate long-term interactions among farm families, livestock, cropping systems, land use, climate and soil-carbon processes to study sustainability of village carbon resources under demographic and climate change.</x:v>
      </x:c>
      <x:c r="S11" t="str">
        <x:v>CaTMAS: A multi-agent model for simulating the dynamics of carbon resources of West African villages</x:v>
      </x:c>
    </x:row>
    <x:row r="12">
      <x:c r="A12" t="str">
        <x:v>S11</x:v>
      </x:c>
      <x:c r="B12" t="str">
        <x:v>SF05</x:v>
      </x:c>
      <x:c r="C12" t="str">
        <x:v>Original 34</x:v>
      </x:c>
      <x:c r="D12" t="n">
        <x:v>2026</x:v>
      </x:c>
      <x:c r="E12" t="str">
        <x:v>2020–2026</x:v>
      </x:c>
      <x:c r="F12" t="str">
        <x:v>Energy / WEF nexus</x:v>
      </x:c>
      <x:c r="G12" t="str">
        <x:v>Trading, negotiation &amp; collective-resource governance</x:v>
      </x:c>
      <x:c r="H12" t="str">
        <x:v>Single-domain</x:v>
      </x:c>
      <x:c r="I12" t="str">
        <x:v>Simulation</x:v>
      </x:c>
      <x:c r="J12" t="str">
        <x:v>Direct</x:v>
      </x:c>
      <x:c r="K12" t="str">
        <x:v>Yes</x:v>
      </x:c>
      <x:c r="L12" t="str">
        <x:v>Algorithm; Coordination mechanism; Platform/framework</x:v>
      </x:c>
      <x:c r="M12" t="str">
        <x:v>No</x:v>
      </x:c>
      <x:c r="N12" t="str">
        <x:v>Yes</x:v>
      </x:c>
      <x:c r="O12" t="str">
        <x:v>No</x:v>
      </x:c>
      <x:c r="P12" t="str">
        <x:v>Yes</x:v>
      </x:c>
      <x:c r="Q12" t="str">
        <x:v>Yes</x:v>
      </x:c>
      <x:c r="R12" t="str">
        <x:v>Enable dairy-farm prosumers to autonomously manage load/batteries and trade renewable electricity with peers to reduce grid purchases, peak demand and cost while increasing sales revenue.</x:v>
      </x:c>
      <x:c r="S12" t="str">
        <x:v>Peer-to-peer energy trading in dairy farms using multi-agent reinforcement learning</x:v>
      </x:c>
    </x:row>
    <x:row r="13">
      <x:c r="A13" t="str">
        <x:v>S12</x:v>
      </x:c>
      <x:c r="B13" t="str">
        <x:v>SF12</x:v>
      </x:c>
      <x:c r="C13" t="str">
        <x:v>Original 34</x:v>
      </x:c>
      <x:c r="D13" t="n">
        <x:v>2023</x:v>
      </x:c>
      <x:c r="E13" t="str">
        <x:v>2020–2026</x:v>
      </x:c>
      <x:c r="F13" t="str">
        <x:v>Soil / nutrient / environmental management</x:v>
      </x:c>
      <x:c r="G13" t="str">
        <x:v>Policy, scenario &amp; socio-ecological impact assessment</x:v>
      </x:c>
      <x:c r="H13" t="str">
        <x:v>Integrated-system</x:v>
      </x:c>
      <x:c r="I13" t="str">
        <x:v>Simulation</x:v>
      </x:c>
      <x:c r="J13" t="str">
        <x:v>Direct</x:v>
      </x:c>
      <x:c r="K13" t="str">
        <x:v>Yes</x:v>
      </x:c>
      <x:c r="L13" t="str">
        <x:v>Simulation model; Platform/framework; Policy-analysis decision support</x:v>
      </x:c>
      <x:c r="M13" t="str">
        <x:v>Yes</x:v>
      </x:c>
      <x:c r="N13" t="str">
        <x:v>No</x:v>
      </x:c>
      <x:c r="O13" t="str">
        <x:v>Yes</x:v>
      </x:c>
      <x:c r="P13" t="str">
        <x:v>No</x:v>
      </x:c>
      <x:c r="Q13" t="str">
        <x:v>Yes</x:v>
      </x:c>
      <x:c r="R13" t="str">
        <x:v>Simulate coupled farmer–environment nutrient dynamics and policy feedbacks in heterogeneous smallholder farms to assess future productivity and soil-nutrient sustainability under alternative fertilizer-subsidy regimes.</x:v>
      </x:c>
      <x:c r="S13" t="str">
        <x:v>MASSAI: Multi-agent system for simulating sustainable agricultural intensification of smallholder farms in Africa</x:v>
      </x:c>
    </x:row>
    <x:row r="14">
      <x:c r="A14" t="str">
        <x:v>S13</x:v>
      </x:c>
      <x:c r="B14" t="str">
        <x:v>SF13</x:v>
      </x:c>
      <x:c r="C14" t="str">
        <x:v>Original 34</x:v>
      </x:c>
      <x:c r="D14" t="n">
        <x:v>2014</x:v>
      </x:c>
      <x:c r="E14" t="str">
        <x:v>2010–2019</x:v>
      </x:c>
      <x:c r="F14" t="str">
        <x:v>Irrigation / water management</x:v>
      </x:c>
      <x:c r="G14" t="str">
        <x:v>Policy, scenario &amp; socio-ecological impact assessment</x:v>
      </x:c>
      <x:c r="H14" t="str">
        <x:v>Integrated-system</x:v>
      </x:c>
      <x:c r="I14" t="str">
        <x:v>Simulation</x:v>
      </x:c>
      <x:c r="J14" t="str">
        <x:v>Direct</x:v>
      </x:c>
      <x:c r="K14" t="str">
        <x:v>Yes</x:v>
      </x:c>
      <x:c r="L14" t="str">
        <x:v>Platform/framework; Simulation model; Decision-support system</x:v>
      </x:c>
      <x:c r="M14" t="str">
        <x:v>Yes</x:v>
      </x:c>
      <x:c r="N14" t="str">
        <x:v>No</x:v>
      </x:c>
      <x:c r="O14" t="str">
        <x:v>Yes</x:v>
      </x:c>
      <x:c r="P14" t="str">
        <x:v>No</x:v>
      </x:c>
      <x:c r="Q14" t="str">
        <x:v>Yes</x:v>
      </x:c>
      <x:c r="R14" t="str">
        <x:v>Support watershed-scale assessment and policy analysis by representing daily feedbacks among farmers, crop production, hydrology, dam releases and drought regulations under water scarcity.</x:v>
      </x:c>
      <x:c r="S14" t="str">
        <x:v>Integrated modelling of social-ecological systems: The MAELIA high-resolution multi-agent platform to deal with water scarcity problems</x:v>
      </x:c>
    </x:row>
    <x:row r="15">
      <x:c r="A15" t="str">
        <x:v>S14</x:v>
      </x:c>
      <x:c r="B15" t="str">
        <x:v>SF14</x:v>
      </x:c>
      <x:c r="C15" t="str">
        <x:v>Original 34</x:v>
      </x:c>
      <x:c r="D15" t="n">
        <x:v>2019</x:v>
      </x:c>
      <x:c r="E15" t="str">
        <x:v>2010–2019</x:v>
      </x:c>
      <x:c r="F15" t="str">
        <x:v>Livestock / integrated farming</x:v>
      </x:c>
      <x:c r="G15" t="str">
        <x:v>Trading, negotiation &amp; collective-resource governance</x:v>
      </x:c>
      <x:c r="H15" t="str">
        <x:v>Integrated-system</x:v>
      </x:c>
      <x:c r="I15" t="str">
        <x:v>Simulation</x:v>
      </x:c>
      <x:c r="J15" t="str">
        <x:v>Indirect</x:v>
      </x:c>
      <x:c r="K15" t="str">
        <x:v>Yes</x:v>
      </x:c>
      <x:c r="L15" t="str">
        <x:v>Simulation model; Platform/framework</x:v>
      </x:c>
      <x:c r="M15" t="str">
        <x:v>Yes</x:v>
      </x:c>
      <x:c r="N15" t="str">
        <x:v>No</x:v>
      </x:c>
      <x:c r="O15" t="str">
        <x:v>No</x:v>
      </x:c>
      <x:c r="P15" t="str">
        <x:v>No</x:v>
      </x:c>
      <x:c r="Q15" t="str">
        <x:v>Yes</x:v>
      </x:c>
      <x:c r="R15" t="str">
        <x:v>Simulate how individual herder/farmer decisions, pastoral mobility, social ties, cooperation and competition generate peaceful or violent outcomes while managing shared grazing, land and water resources.</x:v>
      </x:c>
      <x:c r="S15" t="str">
        <x:v>Network-aware multi-agent simulations of herder-farmer conflicts</x:v>
      </x:c>
    </x:row>
    <x:row r="16">
      <x:c r="A16" t="str">
        <x:v>S15</x:v>
      </x:c>
      <x:c r="B16" t="str">
        <x:v>SF15</x:v>
      </x:c>
      <x:c r="C16" t="str">
        <x:v>Original 34</x:v>
      </x:c>
      <x:c r="D16" t="n">
        <x:v>2017</x:v>
      </x:c>
      <x:c r="E16" t="str">
        <x:v>2010–2019</x:v>
      </x:c>
      <x:c r="F16" t="str">
        <x:v>Livestock / integrated farming</x:v>
      </x:c>
      <x:c r="G16" t="str">
        <x:v>Decision support, monitoring &amp; diagnosis</x:v>
      </x:c>
      <x:c r="H16" t="str">
        <x:v>Integrated-system</x:v>
      </x:c>
      <x:c r="I16" t="str">
        <x:v>Prototype</x:v>
      </x:c>
      <x:c r="J16" t="str">
        <x:v>Not addressed</x:v>
      </x:c>
      <x:c r="K16" t="str">
        <x:v>No</x:v>
      </x:c>
      <x:c r="L16" t="str">
        <x:v>Architecture; Decision-support system; Platform/framework</x:v>
      </x:c>
      <x:c r="M16" t="str">
        <x:v>No</x:v>
      </x:c>
      <x:c r="N16" t="str">
        <x:v>No</x:v>
      </x:c>
      <x:c r="O16" t="str">
        <x:v>Yes</x:v>
      </x:c>
      <x:c r="P16" t="str">
        <x:v>No</x:v>
      </x:c>
      <x:c r="Q16" t="str">
        <x:v>Yes</x:v>
      </x:c>
      <x:c r="R16" t="str">
        <x:v>Provide a single intelligent interface that automatically retrieves and combines pasture, herd, nutrient and financial information so farmers can make integrated dairy-management decisions more efficiently.</x:v>
      </x:c>
      <x:c r="S16" t="str">
        <x:v>Modelling a multi agent system for dairy farms for integrated decision making</x:v>
      </x:c>
    </x:row>
    <x:row r="17">
      <x:c r="A17" t="str">
        <x:v>S16</x:v>
      </x:c>
      <x:c r="B17" t="str">
        <x:v>SF16</x:v>
      </x:c>
      <x:c r="C17" t="str">
        <x:v>Original 34</x:v>
      </x:c>
      <x:c r="D17" t="n">
        <x:v>2023</x:v>
      </x:c>
      <x:c r="E17" t="str">
        <x:v>2020–2026</x:v>
      </x:c>
      <x:c r="F17" t="str">
        <x:v>Irrigation / water management</x:v>
      </x:c>
      <x:c r="G17" t="str">
        <x:v>Trading, negotiation &amp; collective-resource governance</x:v>
      </x:c>
      <x:c r="H17" t="str">
        <x:v>Single-domain</x:v>
      </x:c>
      <x:c r="I17" t="str">
        <x:v>Simulation</x:v>
      </x:c>
      <x:c r="J17" t="str">
        <x:v>Direct</x:v>
      </x:c>
      <x:c r="K17" t="str">
        <x:v>Yes</x:v>
      </x:c>
      <x:c r="L17" t="str">
        <x:v>Coordination mechanism; Algorithm; Decision-support system; Simulation model</x:v>
      </x:c>
      <x:c r="M17" t="str">
        <x:v>Yes</x:v>
      </x:c>
      <x:c r="N17" t="str">
        <x:v>Yes</x:v>
      </x:c>
      <x:c r="O17" t="str">
        <x:v>Yes</x:v>
      </x:c>
      <x:c r="P17" t="str">
        <x:v>Yes</x:v>
      </x:c>
      <x:c r="Q17" t="str">
        <x:v>No</x:v>
      </x:c>
      <x:c r="R17" t="str">
        <x:v>Calculate farm-level daily crop-water needs and enable autonomous farmer agents with surplus/deficit water to negotiate water trades so scarce community irrigation water is redistributed efficiently.</x:v>
      </x:c>
      <x:c r="S17" t="str">
        <x:v>Water distribution in community irrigation using a multi-agent system</x:v>
      </x:c>
    </x:row>
    <x:row r="18">
      <x:c r="A18" t="str">
        <x:v>S17</x:v>
      </x:c>
      <x:c r="B18" t="str">
        <x:v>SF17</x:v>
      </x:c>
      <x:c r="C18" t="str">
        <x:v>Original 34</x:v>
      </x:c>
      <x:c r="D18" t="n">
        <x:v>2026</x:v>
      </x:c>
      <x:c r="E18" t="str">
        <x:v>2020–2026</x:v>
      </x:c>
      <x:c r="F18" t="str">
        <x:v>Crop / farm management</x:v>
      </x:c>
      <x:c r="G18" t="str">
        <x:v>Policy, scenario &amp; socio-ecological impact assessment</x:v>
      </x:c>
      <x:c r="H18" t="str">
        <x:v>Integrated-system</x:v>
      </x:c>
      <x:c r="I18" t="str">
        <x:v>Simulation</x:v>
      </x:c>
      <x:c r="J18" t="str">
        <x:v>Direct</x:v>
      </x:c>
      <x:c r="K18" t="str">
        <x:v>NA</x:v>
      </x:c>
      <x:c r="L18" t="str">
        <x:v>Simulation model; Decision-support framework; Environmental assessment framework</x:v>
      </x:c>
      <x:c r="M18" t="str">
        <x:v>Yes</x:v>
      </x:c>
      <x:c r="N18" t="str">
        <x:v>No</x:v>
      </x:c>
      <x:c r="O18" t="str">
        <x:v>Yes</x:v>
      </x:c>
      <x:c r="P18" t="str">
        <x:v>No</x:v>
      </x:c>
      <x:c r="Q18" t="str">
        <x:v>No</x:v>
      </x:c>
      <x:c r="R18" t="str">
        <x:v>Integrate socioeconomic, water, land-use, production and emissions information to estimate sugarcane-system vulnerability, identify environmental hotspots and support management decisions under uncertainty.</x:v>
      </x:c>
      <x:c r="S18" t="str">
        <x:v>Assessment of agricultural vulnerability and risk to climate change in sugarcane production through life cycle analysis and a multi-agent system</x:v>
      </x:c>
    </x:row>
    <x:row r="19">
      <x:c r="A19" t="str">
        <x:v>S18</x:v>
      </x:c>
      <x:c r="B19" t="str">
        <x:v>SF18</x:v>
      </x:c>
      <x:c r="C19" t="str">
        <x:v>Original 34</x:v>
      </x:c>
      <x:c r="D19" t="n">
        <x:v>2026</x:v>
      </x:c>
      <x:c r="E19" t="str">
        <x:v>2020–2026</x:v>
      </x:c>
      <x:c r="F19" t="str">
        <x:v>Crop / farm management</x:v>
      </x:c>
      <x:c r="G19" t="str">
        <x:v>Operational resource allocation, scheduling &amp; control</x:v>
      </x:c>
      <x:c r="H19" t="str">
        <x:v>Multi-domain</x:v>
      </x:c>
      <x:c r="I19" t="str">
        <x:v>Simulation</x:v>
      </x:c>
      <x:c r="J19" t="str">
        <x:v>Direct</x:v>
      </x:c>
      <x:c r="K19" t="str">
        <x:v>Yes</x:v>
      </x:c>
      <x:c r="L19" t="str">
        <x:v>Architecture; Algorithm; Control system; Optimisation method</x:v>
      </x:c>
      <x:c r="M19" t="str">
        <x:v>No</x:v>
      </x:c>
      <x:c r="N19" t="str">
        <x:v>Yes</x:v>
      </x:c>
      <x:c r="O19" t="str">
        <x:v>No</x:v>
      </x:c>
      <x:c r="P19" t="str">
        <x:v>No</x:v>
      </x:c>
      <x:c r="Q19" t="str">
        <x:v>Yes</x:v>
      </x:c>
      <x:c r="R19" t="str">
        <x:v>Coordinate irrigation, fertilisation, pest-control and energy-related decisions under shared resource limits while improving crop yield, water-use efficiency, learning speed and energy efficiency.</x:v>
      </x:c>
      <x:c r="S19" t="str">
        <x:v>Quantum Machine Learning-Enhanced Multiagent Reinforcement Learning for Intelligent Crop Resource Allocation in IoT-Enabled Smart Agriculture</x:v>
      </x:c>
    </x:row>
    <x:row r="20">
      <x:c r="A20" t="str">
        <x:v>S19</x:v>
      </x:c>
      <x:c r="B20" t="str">
        <x:v>SF19</x:v>
      </x:c>
      <x:c r="C20" t="str">
        <x:v>Original 34</x:v>
      </x:c>
      <x:c r="D20" t="n">
        <x:v>2024</x:v>
      </x:c>
      <x:c r="E20" t="str">
        <x:v>2020–2026</x:v>
      </x:c>
      <x:c r="F20" t="str">
        <x:v>Workforce / robotics / task allocation</x:v>
      </x:c>
      <x:c r="G20" t="str">
        <x:v>Operational resource allocation, scheduling &amp; control</x:v>
      </x:c>
      <x:c r="H20" t="str">
        <x:v>Single-domain</x:v>
      </x:c>
      <x:c r="I20" t="str">
        <x:v>Controlled experiment</x:v>
      </x:c>
      <x:c r="J20" t="str">
        <x:v>Indirect</x:v>
      </x:c>
      <x:c r="K20" t="str">
        <x:v>Yes</x:v>
      </x:c>
      <x:c r="L20" t="str">
        <x:v>Algorithm; Optimisation method; Coordination mechanism</x:v>
      </x:c>
      <x:c r="M20" t="str">
        <x:v>No</x:v>
      </x:c>
      <x:c r="N20" t="str">
        <x:v>Yes</x:v>
      </x:c>
      <x:c r="O20" t="str">
        <x:v>No</x:v>
      </x:c>
      <x:c r="P20" t="str">
        <x:v>Yes</x:v>
      </x:c>
      <x:c r="Q20" t="str">
        <x:v>No</x:v>
      </x:c>
      <x:c r="R20" t="str">
        <x:v>Select an efficient coalition of heterogeneous agricultural UAV/robot agents whose combined capabilities satisfy an on-farm task while reducing travel, communication and wasted capability.</x:v>
      </x:c>
      <x:c r="S20" t="str">
        <x:v>Modification of the Ant Colony Optimization Algorithm for Solving Multi-Agent Task Allocation Problem in Agricultural Application</x:v>
      </x:c>
    </x:row>
    <x:row r="21">
      <x:c r="A21" t="str">
        <x:v>S20</x:v>
      </x:c>
      <x:c r="B21" t="str">
        <x:v>SF16</x:v>
      </x:c>
      <x:c r="C21" t="str">
        <x:v>Original 34</x:v>
      </x:c>
      <x:c r="D21" t="n">
        <x:v>2020</x:v>
      </x:c>
      <x:c r="E21" t="str">
        <x:v>2020–2026</x:v>
      </x:c>
      <x:c r="F21" t="str">
        <x:v>Irrigation / water management</x:v>
      </x:c>
      <x:c r="G21" t="str">
        <x:v>Trading, negotiation &amp; collective-resource governance</x:v>
      </x:c>
      <x:c r="H21" t="str">
        <x:v>Single-domain</x:v>
      </x:c>
      <x:c r="I21" t="str">
        <x:v>Simulation</x:v>
      </x:c>
      <x:c r="J21" t="str">
        <x:v>Direct</x:v>
      </x:c>
      <x:c r="K21" t="str">
        <x:v>Yes</x:v>
      </x:c>
      <x:c r="L21" t="str">
        <x:v>Coordination mechanism; Simulation model; Decision-support system</x:v>
      </x:c>
      <x:c r="M21" t="str">
        <x:v>Yes</x:v>
      </x:c>
      <x:c r="N21" t="str">
        <x:v>No</x:v>
      </x:c>
      <x:c r="O21" t="str">
        <x:v>Yes</x:v>
      </x:c>
      <x:c r="P21" t="str">
        <x:v>Yes</x:v>
      </x:c>
      <x:c r="Q21" t="str">
        <x:v>No</x:v>
      </x:c>
      <x:c r="R21" t="str">
        <x:v>Enable farm agents to calculate crop-water needs, identify surplus/deficit water and negotiate trades so community irrigation water is redistributed efficiently during scarcity.</x:v>
      </x:c>
      <x:c r="S21" t="str">
        <x:v>Improving Water Allocation Using Multi-agent Negotiation Mechanisms</x:v>
      </x:c>
    </x:row>
    <x:row r="22">
      <x:c r="A22" t="str">
        <x:v>S21</x:v>
      </x:c>
      <x:c r="B22" t="str">
        <x:v>SF21</x:v>
      </x:c>
      <x:c r="C22" t="str">
        <x:v>Original 34</x:v>
      </x:c>
      <x:c r="D22" t="n">
        <x:v>2026</x:v>
      </x:c>
      <x:c r="E22" t="str">
        <x:v>2020–2026</x:v>
      </x:c>
      <x:c r="F22" t="str">
        <x:v>Irrigation / water management</x:v>
      </x:c>
      <x:c r="G22" t="str">
        <x:v>Operational resource allocation, scheduling &amp; control</x:v>
      </x:c>
      <x:c r="H22" t="str">
        <x:v>Multi-domain</x:v>
      </x:c>
      <x:c r="I22" t="str">
        <x:v>Simulation</x:v>
      </x:c>
      <x:c r="J22" t="str">
        <x:v>Direct</x:v>
      </x:c>
      <x:c r="K22" t="str">
        <x:v>Yes</x:v>
      </x:c>
      <x:c r="L22" t="str">
        <x:v>Architecture; Algorithm; Control system; Decision-support framework</x:v>
      </x:c>
      <x:c r="M22" t="str">
        <x:v>No</x:v>
      </x:c>
      <x:c r="N22" t="str">
        <x:v>Yes</x:v>
      </x:c>
      <x:c r="O22" t="str">
        <x:v>Yes</x:v>
      </x:c>
      <x:c r="P22" t="str">
        <x:v>No</x:v>
      </x:c>
      <x:c r="Q22" t="str">
        <x:v>Yes</x:v>
      </x:c>
      <x:c r="R22" t="str">
        <x:v>Coordinate adaptive zone-level irrigation under limited water while using multimodal crop-health/stress information to preserve yield, improve water-use efficiency and detect crop disease/stress.</x:v>
      </x:c>
      <x:c r="S22" t="str">
        <x:v>AI-driven multi-agent framework for smart irrigation and crop health monitoring in Indian rice and sugarcane farming</x:v>
      </x:c>
    </x:row>
    <x:row r="23">
      <x:c r="A23" t="str">
        <x:v>S22</x:v>
      </x:c>
      <x:c r="B23" t="str">
        <x:v>SF13</x:v>
      </x:c>
      <x:c r="C23" t="str">
        <x:v>Original 34</x:v>
      </x:c>
      <x:c r="D23" t="n">
        <x:v>2014</x:v>
      </x:c>
      <x:c r="E23" t="str">
        <x:v>2010–2019</x:v>
      </x:c>
      <x:c r="F23" t="str">
        <x:v>Irrigation / water management</x:v>
      </x:c>
      <x:c r="G23" t="str">
        <x:v>Policy, scenario &amp; socio-ecological impact assessment</x:v>
      </x:c>
      <x:c r="H23" t="str">
        <x:v>Integrated-system</x:v>
      </x:c>
      <x:c r="I23" t="str">
        <x:v>Simulation</x:v>
      </x:c>
      <x:c r="J23" t="str">
        <x:v>Direct</x:v>
      </x:c>
      <x:c r="K23" t="str">
        <x:v>Yes</x:v>
      </x:c>
      <x:c r="L23" t="str">
        <x:v>Platform/framework; Simulation model; Decision-support/integrated assessment</x:v>
      </x:c>
      <x:c r="M23" t="str">
        <x:v>Yes</x:v>
      </x:c>
      <x:c r="N23" t="str">
        <x:v>No</x:v>
      </x:c>
      <x:c r="O23" t="str">
        <x:v>Yes</x:v>
      </x:c>
      <x:c r="P23" t="str">
        <x:v>No</x:v>
      </x:c>
      <x:c r="Q23" t="str">
        <x:v>Yes</x:v>
      </x:c>
      <x:c r="R23" t="str">
        <x:v>Simulate interactions among farming, hydrology, water governance and land-use processes to compare water-scarcity management policies and support watershed-level decision making.</x:v>
      </x:c>
      <x:c r="S23" t="str">
        <x:v>The MAELIA Multi-agent platform for integrated analysis of interactions between agricultural land-use and low-water management strategies</x:v>
      </x:c>
    </x:row>
    <x:row r="24">
      <x:c r="A24" t="str">
        <x:v>S23</x:v>
      </x:c>
      <x:c r="B24" t="str">
        <x:v>SF08</x:v>
      </x:c>
      <x:c r="C24" t="str">
        <x:v>Original 34</x:v>
      </x:c>
      <x:c r="D24" t="n">
        <x:v>2024</x:v>
      </x:c>
      <x:c r="E24" t="str">
        <x:v>2020–2026</x:v>
      </x:c>
      <x:c r="F24" t="str">
        <x:v>Irrigation / water management</x:v>
      </x:c>
      <x:c r="G24" t="str">
        <x:v>Operational resource allocation, scheduling &amp; control</x:v>
      </x:c>
      <x:c r="H24" t="str">
        <x:v>Single-domain</x:v>
      </x:c>
      <x:c r="I24" t="str">
        <x:v>Simulation</x:v>
      </x:c>
      <x:c r="J24" t="str">
        <x:v>Direct</x:v>
      </x:c>
      <x:c r="K24" t="str">
        <x:v>Yes</x:v>
      </x:c>
      <x:c r="L24" t="str">
        <x:v>Architecture; Algorithm; Control system</x:v>
      </x:c>
      <x:c r="M24" t="str">
        <x:v>No</x:v>
      </x:c>
      <x:c r="N24" t="str">
        <x:v>Yes</x:v>
      </x:c>
      <x:c r="O24" t="str">
        <x:v>No</x:v>
      </x:c>
      <x:c r="P24" t="str">
        <x:v>No</x:v>
      </x:c>
      <x:c r="Q24" t="str">
        <x:v>Yes</x:v>
      </x:c>
      <x:c r="R24" t="str">
        <x:v>Coordinate field-wide irrigation timing and management-zone irrigation depths to maintain root-zone soil moisture while reducing irrigation water use.</x:v>
      </x:c>
      <x:c r="S24" t="str">
        <x:v>Semi-centralized Multi-agent RL for Irrigation Scheduling</x:v>
      </x:c>
    </x:row>
    <x:row r="25">
      <x:c r="A25" t="str">
        <x:v>S24</x:v>
      </x:c>
      <x:c r="B25" t="str">
        <x:v>SF24</x:v>
      </x:c>
      <x:c r="C25" t="str">
        <x:v>Original 34</x:v>
      </x:c>
      <x:c r="D25" t="n">
        <x:v>2019</x:v>
      </x:c>
      <x:c r="E25" t="str">
        <x:v>2010–2019</x:v>
      </x:c>
      <x:c r="F25" t="str">
        <x:v>Irrigation / water management</x:v>
      </x:c>
      <x:c r="G25" t="str">
        <x:v>Operational resource allocation, scheduling &amp; control</x:v>
      </x:c>
      <x:c r="H25" t="str">
        <x:v>Single-domain</x:v>
      </x:c>
      <x:c r="I25" t="str">
        <x:v>Simulation</x:v>
      </x:c>
      <x:c r="J25" t="str">
        <x:v>Direct</x:v>
      </x:c>
      <x:c r="K25" t="str">
        <x:v>Yes</x:v>
      </x:c>
      <x:c r="L25" t="str">
        <x:v>Architecture; Control system; Decision-support/knowledge-discovery system</x:v>
      </x:c>
      <x:c r="M25" t="str">
        <x:v>No</x:v>
      </x:c>
      <x:c r="N25" t="str">
        <x:v>Yes</x:v>
      </x:c>
      <x:c r="O25" t="str">
        <x:v>Yes</x:v>
      </x:c>
      <x:c r="P25" t="str">
        <x:v>No</x:v>
      </x:c>
      <x:c r="Q25" t="str">
        <x:v>Yes</x:v>
      </x:c>
      <x:c r="R25" t="str">
        <x:v>Automate precision irrigation by fusing sensor/weather data, identifying zones with different water needs and controlling pivot irrigation actuators accordingly.</x:v>
      </x:c>
      <x:c r="S25" t="str">
        <x:v>Intelligent multi-agent system for water reduction in automotive irrigation processes</x:v>
      </x:c>
    </x:row>
    <x:row r="26">
      <x:c r="A26" t="str">
        <x:v>S25</x:v>
      </x:c>
      <x:c r="B26" t="str">
        <x:v>SF25</x:v>
      </x:c>
      <x:c r="C26" t="str">
        <x:v>Original 34</x:v>
      </x:c>
      <x:c r="D26" t="n">
        <x:v>2023</x:v>
      </x:c>
      <x:c r="E26" t="str">
        <x:v>2020–2026</x:v>
      </x:c>
      <x:c r="F26" t="str">
        <x:v>Workforce / robotics / task allocation</x:v>
      </x:c>
      <x:c r="G26" t="str">
        <x:v>Operational resource allocation, scheduling &amp; control</x:v>
      </x:c>
      <x:c r="H26" t="str">
        <x:v>Single-domain</x:v>
      </x:c>
      <x:c r="I26" t="str">
        <x:v>Simulation</x:v>
      </x:c>
      <x:c r="J26" t="str">
        <x:v>Indirect</x:v>
      </x:c>
      <x:c r="K26" t="str">
        <x:v>Yes</x:v>
      </x:c>
      <x:c r="L26" t="str">
        <x:v>Algorithm; Coordination mechanism; Simulation model; Decision-support method</x:v>
      </x:c>
      <x:c r="M26" t="str">
        <x:v>Yes</x:v>
      </x:c>
      <x:c r="N26" t="str">
        <x:v>Yes</x:v>
      </x:c>
      <x:c r="O26" t="str">
        <x:v>Yes</x:v>
      </x:c>
      <x:c r="P26" t="str">
        <x:v>Yes</x:v>
      </x:c>
      <x:c r="Q26" t="str">
        <x:v>No</x:v>
      </x:c>
      <x:c r="R26" t="str">
        <x:v>Assist farm managers in allocating human workers to fields and harvesting tasks to reduce staff time, balance workloads and improve use of a limited seasonal workforce.</x:v>
      </x:c>
      <x:c r="S26" t="str">
        <x:v>Challenges for Multi-Agent Based Agricultural Workforce Management</x:v>
      </x:c>
    </x:row>
    <x:row r="27">
      <x:c r="A27" t="str">
        <x:v>S26</x:v>
      </x:c>
      <x:c r="B27" t="str">
        <x:v>SF26</x:v>
      </x:c>
      <x:c r="C27" t="str">
        <x:v>Original 34</x:v>
      </x:c>
      <x:c r="D27" t="n">
        <x:v>2021</x:v>
      </x:c>
      <x:c r="E27" t="str">
        <x:v>2020–2026</x:v>
      </x:c>
      <x:c r="F27" t="str">
        <x:v>Irrigation / water management</x:v>
      </x:c>
      <x:c r="G27" t="str">
        <x:v>Policy, scenario &amp; socio-ecological impact assessment</x:v>
      </x:c>
      <x:c r="H27" t="str">
        <x:v>Integrated-system</x:v>
      </x:c>
      <x:c r="I27" t="str">
        <x:v>Simulation</x:v>
      </x:c>
      <x:c r="J27" t="str">
        <x:v>Direct</x:v>
      </x:c>
      <x:c r="K27" t="str">
        <x:v>Yes</x:v>
      </x:c>
      <x:c r="L27" t="str">
        <x:v>Algorithm; Simulation model; Platform/framework</x:v>
      </x:c>
      <x:c r="M27" t="str">
        <x:v>Yes</x:v>
      </x:c>
      <x:c r="N27" t="str">
        <x:v>Yes</x:v>
      </x:c>
      <x:c r="O27" t="str">
        <x:v>No</x:v>
      </x:c>
      <x:c r="P27" t="str">
        <x:v>No</x:v>
      </x:c>
      <x:c r="Q27" t="str">
        <x:v>Yes</x:v>
      </x:c>
      <x:c r="R27" t="str">
        <x:v>Simulate adaptive agricultural water-demand decisions and assess their effects on Colorado River Basin water scarcity under changing hydroclimatic conditions.</x:v>
      </x:c>
      <x:c r="S27" t="str">
        <x:v>Assessing Adaptive Irrigation Impacts on Water Scarcity in Nonstationary Environments—A Multi-Agent Reinforcement Learning Approach</x:v>
      </x:c>
    </x:row>
    <x:row r="28">
      <x:c r="A28" t="str">
        <x:v>S27</x:v>
      </x:c>
      <x:c r="B28" t="str">
        <x:v>SF27</x:v>
      </x:c>
      <x:c r="C28" t="str">
        <x:v>Original 34</x:v>
      </x:c>
      <x:c r="D28" t="n">
        <x:v>2013</x:v>
      </x:c>
      <x:c r="E28" t="str">
        <x:v>2010–2019</x:v>
      </x:c>
      <x:c r="F28" t="str">
        <x:v>Irrigation / water management</x:v>
      </x:c>
      <x:c r="G28" t="str">
        <x:v>Policy, scenario &amp; socio-ecological impact assessment</x:v>
      </x:c>
      <x:c r="H28" t="str">
        <x:v>Integrated-system</x:v>
      </x:c>
      <x:c r="I28" t="str">
        <x:v>Simulation</x:v>
      </x:c>
      <x:c r="J28" t="str">
        <x:v>Direct</x:v>
      </x:c>
      <x:c r="K28" t="str">
        <x:v>Yes</x:v>
      </x:c>
      <x:c r="L28" t="str">
        <x:v>Simulation model; Decision-support/integrated assessment; Platform/framework</x:v>
      </x:c>
      <x:c r="M28" t="str">
        <x:v>Yes</x:v>
      </x:c>
      <x:c r="N28" t="str">
        <x:v>No</x:v>
      </x:c>
      <x:c r="O28" t="str">
        <x:v>Yes</x:v>
      </x:c>
      <x:c r="P28" t="str">
        <x:v>No</x:v>
      </x:c>
      <x:c r="Q28" t="str">
        <x:v>Yes</x:v>
      </x:c>
      <x:c r="R28" t="str">
        <x:v>Simulate autonomous farmer adaptation to seasonal/bi-weekly climate information and quantify consequences for crop allocation, irrigation water demand and farm income from 2015–2030.</x:v>
      </x:c>
      <x:c r="S28" t="str">
        <x:v>Multi-agent agro-economic simulation of irrigation water demand with climate services for climate change adaptation</x:v>
      </x:c>
    </x:row>
    <x:row r="29">
      <x:c r="A29" t="str">
        <x:v>S28</x:v>
      </x:c>
      <x:c r="B29" t="str">
        <x:v>SF28</x:v>
      </x:c>
      <x:c r="C29" t="str">
        <x:v>Original 34</x:v>
      </x:c>
      <x:c r="D29" t="n">
        <x:v>2010</x:v>
      </x:c>
      <x:c r="E29" t="str">
        <x:v>2010–2019</x:v>
      </x:c>
      <x:c r="F29" t="str">
        <x:v>Soil / nutrient / environmental management</x:v>
      </x:c>
      <x:c r="G29" t="str">
        <x:v>Operational resource allocation, scheduling &amp; control</x:v>
      </x:c>
      <x:c r="H29" t="str">
        <x:v>Integrated-system</x:v>
      </x:c>
      <x:c r="I29" t="str">
        <x:v>Simulation</x:v>
      </x:c>
      <x:c r="J29" t="str">
        <x:v>Direct</x:v>
      </x:c>
      <x:c r="K29" t="str">
        <x:v>Yes</x:v>
      </x:c>
      <x:c r="L29" t="str">
        <x:v>Simulation model; Optimisation method; Decision-support system; Policy-analysis framework</x:v>
      </x:c>
      <x:c r="M29" t="str">
        <x:v>Yes</x:v>
      </x:c>
      <x:c r="N29" t="str">
        <x:v>Yes</x:v>
      </x:c>
      <x:c r="O29" t="str">
        <x:v>Yes</x:v>
      </x:c>
      <x:c r="P29" t="str">
        <x:v>No</x:v>
      </x:c>
      <x:c r="Q29" t="str">
        <x:v>No</x:v>
      </x:c>
      <x:c r="R29" t="str">
        <x:v>Optimise spatial manure allocation among own-land application, transport to other farms and processing while respecting nutrient regulations and minimising allocation costs.</x:v>
      </x:c>
      <x:c r="S29" t="str">
        <x:v>A multi-agent simulation model for spatial optimisation of manure allocation</x:v>
      </x:c>
    </x:row>
    <x:row r="30">
      <x:c r="A30" t="str">
        <x:v>S29</x:v>
      </x:c>
      <x:c r="B30" t="str">
        <x:v>SF05</x:v>
      </x:c>
      <x:c r="C30" t="str">
        <x:v>Original 34</x:v>
      </x:c>
      <x:c r="D30" t="n">
        <x:v>2024</x:v>
      </x:c>
      <x:c r="E30" t="str">
        <x:v>2020–2026</x:v>
      </x:c>
      <x:c r="F30" t="str">
        <x:v>Energy / WEF nexus</x:v>
      </x:c>
      <x:c r="G30" t="str">
        <x:v>Trading, negotiation &amp; collective-resource governance</x:v>
      </x:c>
      <x:c r="H30" t="str">
        <x:v>Single-domain</x:v>
      </x:c>
      <x:c r="I30" t="str">
        <x:v>Simulation</x:v>
      </x:c>
      <x:c r="J30" t="str">
        <x:v>Indirect</x:v>
      </x:c>
      <x:c r="K30" t="str">
        <x:v>Yes</x:v>
      </x:c>
      <x:c r="L30" t="str">
        <x:v>Simulation model; Platform/framework; Coordination mechanism; Decision-support method</x:v>
      </x:c>
      <x:c r="M30" t="str">
        <x:v>Yes</x:v>
      </x:c>
      <x:c r="N30" t="str">
        <x:v>No</x:v>
      </x:c>
      <x:c r="O30" t="str">
        <x:v>Yes</x:v>
      </x:c>
      <x:c r="P30" t="str">
        <x:v>Yes</x:v>
      </x:c>
      <x:c r="Q30" t="str">
        <x:v>Yes</x:v>
      </x:c>
      <x:c r="R30" t="str">
        <x:v>Coordinate dairy-farm prosumers to trade surplus renewable electricity locally, manage batteries and reduce grid dependence, energy cost and peak demand.</x:v>
      </x:c>
      <x:c r="S30" t="str">
        <x:v>A Multi-agent Systems Approach for Peer-to-Peer Energy Trading in Dairy Farming</x:v>
      </x:c>
    </x:row>
    <x:row r="31">
      <x:c r="A31" t="str">
        <x:v>S30</x:v>
      </x:c>
      <x:c r="B31" t="str">
        <x:v>SF30</x:v>
      </x:c>
      <x:c r="C31" t="str">
        <x:v>Original 34</x:v>
      </x:c>
      <x:c r="D31" t="n">
        <x:v>2018</x:v>
      </x:c>
      <x:c r="E31" t="str">
        <x:v>2010–2019</x:v>
      </x:c>
      <x:c r="F31" t="str">
        <x:v>Irrigation / water management</x:v>
      </x:c>
      <x:c r="G31" t="str">
        <x:v>Operational resource allocation, scheduling &amp; control</x:v>
      </x:c>
      <x:c r="H31" t="str">
        <x:v>Single-domain</x:v>
      </x:c>
      <x:c r="I31" t="str">
        <x:v>Simulation</x:v>
      </x:c>
      <x:c r="J31" t="str">
        <x:v>Indirect</x:v>
      </x:c>
      <x:c r="K31" t="str">
        <x:v>Yes</x:v>
      </x:c>
      <x:c r="L31" t="str">
        <x:v>Algorithm; Coordination mechanism; Optimisation method</x:v>
      </x:c>
      <x:c r="M31" t="str">
        <x:v>No</x:v>
      </x:c>
      <x:c r="N31" t="str">
        <x:v>Yes</x:v>
      </x:c>
      <x:c r="O31" t="str">
        <x:v>No</x:v>
      </x:c>
      <x:c r="P31" t="str">
        <x:v>Yes</x:v>
      </x:c>
      <x:c r="Q31" t="str">
        <x:v>No</x:v>
      </x:c>
      <x:c r="R31" t="str">
        <x:v>Schedule the time, location, and quantity of resources delivered by heterogeneous agricultural agents to crop subfields while maximising whole-farm profit.</x:v>
      </x:c>
      <x:c r="S31" t="str">
        <x:v>Heterogeneous multi-agent resource allocation through multi-bidding with applications to precision agriculture</x:v>
      </x:c>
    </x:row>
    <x:row r="32">
      <x:c r="A32" t="str">
        <x:v>S31</x:v>
      </x:c>
      <x:c r="B32" t="str">
        <x:v>SF31</x:v>
      </x:c>
      <x:c r="C32" t="str">
        <x:v>Original 34</x:v>
      </x:c>
      <x:c r="D32" t="n">
        <x:v>2022</x:v>
      </x:c>
      <x:c r="E32" t="str">
        <x:v>2020–2026</x:v>
      </x:c>
      <x:c r="F32" t="str">
        <x:v>Workforce / robotics / task allocation</x:v>
      </x:c>
      <x:c r="G32" t="str">
        <x:v>Operational resource allocation, scheduling &amp; control</x:v>
      </x:c>
      <x:c r="H32" t="str">
        <x:v>Single-domain</x:v>
      </x:c>
      <x:c r="I32" t="str">
        <x:v>Simulation</x:v>
      </x:c>
      <x:c r="J32" t="str">
        <x:v>Indirect</x:v>
      </x:c>
      <x:c r="K32" t="str">
        <x:v>Yes</x:v>
      </x:c>
      <x:c r="L32" t="str">
        <x:v>Algorithm; Coordination mechanism; Optimisation method</x:v>
      </x:c>
      <x:c r="M32" t="str">
        <x:v>No</x:v>
      </x:c>
      <x:c r="N32" t="str">
        <x:v>Yes</x:v>
      </x:c>
      <x:c r="O32" t="str">
        <x:v>No</x:v>
      </x:c>
      <x:c r="P32" t="str">
        <x:v>Yes</x:v>
      </x:c>
      <x:c r="Q32" t="str">
        <x:v>No</x:v>
      </x:c>
      <x:c r="R32" t="str">
        <x:v>Dynamically allocate agricultural field strips/tasks to heterogeneous autonomous agents so that field work remains efficient when agents/tasks enter, leave, fail or change capability.</x:v>
      </x:c>
      <x:c r="S32" t="str">
        <x:v>Dynamic Task Allocation Method for Heterogenous Multiagent System in Uncertain Scenarios of Agricultural Field Operation</x:v>
      </x:c>
    </x:row>
    <x:row r="33">
      <x:c r="A33" t="str">
        <x:v>S32</x:v>
      </x:c>
      <x:c r="B33" t="str">
        <x:v>SF32</x:v>
      </x:c>
      <x:c r="C33" t="str">
        <x:v>Original 34</x:v>
      </x:c>
      <x:c r="D33" t="n">
        <x:v>2012</x:v>
      </x:c>
      <x:c r="E33" t="str">
        <x:v>2010–2019</x:v>
      </x:c>
      <x:c r="F33" t="str">
        <x:v>Irrigation / water management</x:v>
      </x:c>
      <x:c r="G33" t="str">
        <x:v>Trading, negotiation &amp; collective-resource governance</x:v>
      </x:c>
      <x:c r="H33" t="str">
        <x:v>Single-domain</x:v>
      </x:c>
      <x:c r="I33" t="str">
        <x:v>Simulation</x:v>
      </x:c>
      <x:c r="J33" t="str">
        <x:v>Direct</x:v>
      </x:c>
      <x:c r="K33" t="str">
        <x:v>Yes</x:v>
      </x:c>
      <x:c r="L33" t="str">
        <x:v>Simulation model; Algorithm; Coordination mechanism; Policy-evaluation framework</x:v>
      </x:c>
      <x:c r="M33" t="str">
        <x:v>Yes</x:v>
      </x:c>
      <x:c r="N33" t="str">
        <x:v>Yes</x:v>
      </x:c>
      <x:c r="O33" t="str">
        <x:v>Yes</x:v>
      </x:c>
      <x:c r="P33" t="str">
        <x:v>Yes</x:v>
      </x:c>
      <x:c r="Q33" t="str">
        <x:v>No</x:v>
      </x:c>
      <x:c r="R33" t="str">
        <x:v>Simulate farmer extraction of a shared irrigation-water resource under limited local knowledge and adapt individual water requests to reduce tragedy-of-the-commons behaviour.</x:v>
      </x:c>
      <x:c r="S33" t="str">
        <x:v>A constrained multi-agent system compensating for self-lucrative behaviours in water resource sharing</x:v>
      </x:c>
    </x:row>
    <x:row r="34">
      <x:c r="A34" t="str">
        <x:v>S33</x:v>
      </x:c>
      <x:c r="B34" t="str">
        <x:v>SF25</x:v>
      </x:c>
      <x:c r="C34" t="str">
        <x:v>Original 34</x:v>
      </x:c>
      <x:c r="D34" t="n">
        <x:v>2022</x:v>
      </x:c>
      <x:c r="E34" t="str">
        <x:v>2020–2026</x:v>
      </x:c>
      <x:c r="F34" t="str">
        <x:v>Workforce / robotics / task allocation</x:v>
      </x:c>
      <x:c r="G34" t="str">
        <x:v>Operational resource allocation, scheduling &amp; control</x:v>
      </x:c>
      <x:c r="H34" t="str">
        <x:v>Single-domain</x:v>
      </x:c>
      <x:c r="I34" t="str">
        <x:v>Prototype</x:v>
      </x:c>
      <x:c r="J34" t="str">
        <x:v>Indirect</x:v>
      </x:c>
      <x:c r="K34" t="str">
        <x:v>Yes</x:v>
      </x:c>
      <x:c r="L34" t="str">
        <x:v>Algorithm; Coordination mechanism; Simulation model; Decision-support system</x:v>
      </x:c>
      <x:c r="M34" t="str">
        <x:v>Yes</x:v>
      </x:c>
      <x:c r="N34" t="str">
        <x:v>Yes</x:v>
      </x:c>
      <x:c r="O34" t="str">
        <x:v>Yes</x:v>
      </x:c>
      <x:c r="P34" t="str">
        <x:v>Yes</x:v>
      </x:c>
      <x:c r="Q34" t="str">
        <x:v>No</x:v>
      </x:c>
      <x:c r="R34" t="str">
        <x:v>Support harvest managers and team leaders by allocating workers to fields and assigning picker/runner tasks to reduce harvesting time, waiting and management effort while balancing workloads.</x:v>
      </x:c>
      <x:c r="S34" t="str">
        <x:v>Multi-agent task allocation for harvest management</x:v>
      </x:c>
    </x:row>
    <x:row r="35">
      <x:c r="A35" t="str">
        <x:v>S34</x:v>
      </x:c>
      <x:c r="B35" t="str">
        <x:v>SF25</x:v>
      </x:c>
      <x:c r="C35" t="str">
        <x:v>Original 34</x:v>
      </x:c>
      <x:c r="D35" t="n">
        <x:v>2022</x:v>
      </x:c>
      <x:c r="E35" t="str">
        <x:v>2020–2026</x:v>
      </x:c>
      <x:c r="F35" t="str">
        <x:v>Workforce / robotics / task allocation</x:v>
      </x:c>
      <x:c r="G35" t="str">
        <x:v>Operational resource allocation, scheduling &amp; control</x:v>
      </x:c>
      <x:c r="H35" t="str">
        <x:v>Single-domain</x:v>
      </x:c>
      <x:c r="I35" t="str">
        <x:v>Prototype</x:v>
      </x:c>
      <x:c r="J35" t="str">
        <x:v>Indirect</x:v>
      </x:c>
      <x:c r="K35" t="str">
        <x:v>Yes</x:v>
      </x:c>
      <x:c r="L35" t="str">
        <x:v>Algorithm; Optimisation method; Coordination mechanism; Decision-support method</x:v>
      </x:c>
      <x:c r="M35" t="str">
        <x:v>No</x:v>
      </x:c>
      <x:c r="N35" t="str">
        <x:v>Yes</x:v>
      </x:c>
      <x:c r="O35" t="str">
        <x:v>Yes</x:v>
      </x:c>
      <x:c r="P35" t="str">
        <x:v>Yes</x:v>
      </x:c>
      <x:c r="Q35" t="str">
        <x:v>No</x:v>
      </x:c>
      <x:c r="R35" t="str">
        <x:v>Form efficient harvest teams by assigning workers with heterogeneous picking skills to fields while balancing staff time and field completion time.</x:v>
      </x:c>
      <x:c r="S35" t="str">
        <x:v>Multi-Agent Task Allocation Techniques for Harvest Team Formation</x:v>
      </x:c>
    </x:row>
    <x:row r="36">
      <x:c r="A36" t="str">
        <x:v>S35</x:v>
      </x:c>
      <x:c r="B36" t="str">
        <x:v>SF35</x:v>
      </x:c>
      <x:c r="C36" t="str">
        <x:v>Citation search +19</x:v>
      </x:c>
      <x:c r="D36" t="n">
        <x:v>2011</x:v>
      </x:c>
      <x:c r="E36" t="str">
        <x:v>2010–2019</x:v>
      </x:c>
      <x:c r="F36" t="str">
        <x:v>Crop / farm management</x:v>
      </x:c>
      <x:c r="G36" t="str">
        <x:v>Policy, scenario &amp; socio-ecological impact assessment</x:v>
      </x:c>
      <x:c r="H36" t="str">
        <x:v>Integrated-system</x:v>
      </x:c>
      <x:c r="I36" t="str">
        <x:v>Simulation</x:v>
      </x:c>
      <x:c r="J36" t="str">
        <x:v>Direct</x:v>
      </x:c>
      <x:c r="K36" t="str">
        <x:v>Yes</x:v>
      </x:c>
      <x:c r="L36" t="str">
        <x:v>Platform/framework; Simulation model; Decision-support/impact-assessment framework</x:v>
      </x:c>
      <x:c r="M36" t="str">
        <x:v>Yes</x:v>
      </x:c>
      <x:c r="N36" t="str">
        <x:v>No</x:v>
      </x:c>
      <x:c r="O36" t="str">
        <x:v>Yes</x:v>
      </x:c>
      <x:c r="P36" t="str">
        <x:v>No</x:v>
      </x:c>
      <x:c r="Q36" t="str">
        <x:v>Yes</x:v>
      </x:c>
      <x:c r="R36" t="str">
        <x:v>Support ex-ante assessment of agricultural technologies, market dynamics, environmental change, and policy interventions while representing heterogeneous farm households and the natural resources they manage.</x:v>
      </x:c>
      <x:c r="S36" t="str">
        <x:v>An agent-based simulation model of human–environment interactions in agricultural systems</x:v>
      </x:c>
    </x:row>
    <x:row r="37">
      <x:c r="A37" t="str">
        <x:v>S36</x:v>
      </x:c>
      <x:c r="B37" t="str">
        <x:v>SF36</x:v>
      </x:c>
      <x:c r="C37" t="str">
        <x:v>Citation search +19</x:v>
      </x:c>
      <x:c r="D37" t="n">
        <x:v>2017</x:v>
      </x:c>
      <x:c r="E37" t="str">
        <x:v>2010–2019</x:v>
      </x:c>
      <x:c r="F37" t="str">
        <x:v>Crop / farm management</x:v>
      </x:c>
      <x:c r="G37" t="str">
        <x:v>Policy, scenario &amp; socio-ecological impact assessment</x:v>
      </x:c>
      <x:c r="H37" t="str">
        <x:v>Integrated-system</x:v>
      </x:c>
      <x:c r="I37" t="str">
        <x:v>Simulation</x:v>
      </x:c>
      <x:c r="J37" t="str">
        <x:v>Direct</x:v>
      </x:c>
      <x:c r="K37" t="str">
        <x:v>Yes</x:v>
      </x:c>
      <x:c r="L37" t="str">
        <x:v>Simulation model; Policy-evaluation framework; Decision-support/impact-assessment</x:v>
      </x:c>
      <x:c r="M37" t="str">
        <x:v>Yes</x:v>
      </x:c>
      <x:c r="N37" t="str">
        <x:v>No</x:v>
      </x:c>
      <x:c r="O37" t="str">
        <x:v>Yes</x:v>
      </x:c>
      <x:c r="P37" t="str">
        <x:v>No</x:v>
      </x:c>
      <x:c r="Q37" t="str">
        <x:v>No</x:v>
      </x:c>
      <x:c r="R37" t="str">
        <x:v>Simulate heterogeneous farm responses to pesticide taxes, integrated pest management (IPM), price premiums, compensation and biopesticide subsidies, including innovation diffusion through farmer networks.</x:v>
      </x:c>
      <x:c r="S37" t="str">
        <x:v>'Smart' policies to reduce pesticide use and avoid income trade-offs: An agent-based model applied to Thai agriculture</x:v>
      </x:c>
    </x:row>
    <x:row r="38">
      <x:c r="A38" t="str">
        <x:v>S37</x:v>
      </x:c>
      <x:c r="B38" t="str">
        <x:v>SF37</x:v>
      </x:c>
      <x:c r="C38" t="str">
        <x:v>Citation search +19</x:v>
      </x:c>
      <x:c r="D38" t="n">
        <x:v>2014</x:v>
      </x:c>
      <x:c r="E38" t="str">
        <x:v>2010–2019</x:v>
      </x:c>
      <x:c r="F38" t="str">
        <x:v>Soil / nutrient / environmental management</x:v>
      </x:c>
      <x:c r="G38" t="str">
        <x:v>Policy, scenario &amp; socio-ecological impact assessment</x:v>
      </x:c>
      <x:c r="H38" t="str">
        <x:v>Integrated-system</x:v>
      </x:c>
      <x:c r="I38" t="str">
        <x:v>Simulation</x:v>
      </x:c>
      <x:c r="J38" t="str">
        <x:v>Direct</x:v>
      </x:c>
      <x:c r="K38" t="str">
        <x:v>Yes</x:v>
      </x:c>
      <x:c r="L38" t="str">
        <x:v>Simulation model; Policy-evaluation framework; Decision-support/impact-assessment</x:v>
      </x:c>
      <x:c r="M38" t="str">
        <x:v>Yes</x:v>
      </x:c>
      <x:c r="N38" t="str">
        <x:v>No</x:v>
      </x:c>
      <x:c r="O38" t="str">
        <x:v>Yes</x:v>
      </x:c>
      <x:c r="P38" t="str">
        <x:v>No</x:v>
      </x:c>
      <x:c r="Q38" t="str">
        <x:v>No</x:v>
      </x:c>
      <x:c r="R38" t="str">
        <x:v>Simulate heterogeneous farm-household decisions, technology diffusion and soil-fertility feedback to evaluate soil-conservation practices and incentive policies ex ante.</x:v>
      </x:c>
      <x:c r="S38" t="str">
        <x:v>Ex-ante assessment of soil conservation methods in the uplands of Vietnam: An agent-based modeling approach</x:v>
      </x:c>
    </x:row>
    <x:row r="39">
      <x:c r="A39" t="str">
        <x:v>S38</x:v>
      </x:c>
      <x:c r="B39" t="str">
        <x:v>SF38</x:v>
      </x:c>
      <x:c r="C39" t="str">
        <x:v>Citation search +19</x:v>
      </x:c>
      <x:c r="D39" t="n">
        <x:v>2017</x:v>
      </x:c>
      <x:c r="E39" t="str">
        <x:v>2010–2019</x:v>
      </x:c>
      <x:c r="F39" t="str">
        <x:v>Irrigation / water management</x:v>
      </x:c>
      <x:c r="G39" t="str">
        <x:v>Trading, negotiation &amp; collective-resource governance</x:v>
      </x:c>
      <x:c r="H39" t="str">
        <x:v>Single-domain</x:v>
      </x:c>
      <x:c r="I39" t="str">
        <x:v>Simulation</x:v>
      </x:c>
      <x:c r="J39" t="str">
        <x:v>Direct</x:v>
      </x:c>
      <x:c r="K39" t="str">
        <x:v>Yes</x:v>
      </x:c>
      <x:c r="L39" t="str">
        <x:v>Simulation model; Coordination/cooperation mechanism; Policy-evaluation framework</x:v>
      </x:c>
      <x:c r="M39" t="str">
        <x:v>Yes</x:v>
      </x:c>
      <x:c r="N39" t="str">
        <x:v>No</x:v>
      </x:c>
      <x:c r="O39" t="str">
        <x:v>Yes</x:v>
      </x:c>
      <x:c r="P39" t="str">
        <x:v>Yes</x:v>
      </x:c>
      <x:c r="Q39" t="str">
        <x:v>No</x:v>
      </x:c>
      <x:c r="R39" t="str">
        <x:v>Explain and simulate emergence of collective irrigation management/Water User Association participation among autonomous farmer households.</x:v>
      </x:c>
      <x:c r="S39" t="str">
        <x:v>An agent-based simulation of cooperation in the use of irrigation systems</x:v>
      </x:c>
    </x:row>
    <x:row r="40">
      <x:c r="A40" t="str">
        <x:v>S39</x:v>
      </x:c>
      <x:c r="B40" t="str">
        <x:v>SF39</x:v>
      </x:c>
      <x:c r="C40" t="str">
        <x:v>Citation search +19</x:v>
      </x:c>
      <x:c r="D40" t="n">
        <x:v>2020</x:v>
      </x:c>
      <x:c r="E40" t="str">
        <x:v>2020–2026</x:v>
      </x:c>
      <x:c r="F40" t="str">
        <x:v>Irrigation / water management</x:v>
      </x:c>
      <x:c r="G40" t="str">
        <x:v>Trading, negotiation &amp; collective-resource governance</x:v>
      </x:c>
      <x:c r="H40" t="str">
        <x:v>Integrated-system</x:v>
      </x:c>
      <x:c r="I40" t="str">
        <x:v>Simulation</x:v>
      </x:c>
      <x:c r="J40" t="str">
        <x:v>Direct</x:v>
      </x:c>
      <x:c r="K40" t="str">
        <x:v>Yes</x:v>
      </x:c>
      <x:c r="L40" t="str">
        <x:v>Simulation model; Socio-hydrological framework; Policy/collective-action analysis</x:v>
      </x:c>
      <x:c r="M40" t="str">
        <x:v>Yes</x:v>
      </x:c>
      <x:c r="N40" t="str">
        <x:v>No</x:v>
      </x:c>
      <x:c r="O40" t="str">
        <x:v>Yes</x:v>
      </x:c>
      <x:c r="P40" t="str">
        <x:v>No</x:v>
      </x:c>
      <x:c r="Q40" t="str">
        <x:v>No</x:v>
      </x:c>
      <x:c r="R40" t="str">
        <x:v>Simulate community-level consequences of individual choices between groundwater wells and on-farm ponds and identify when sustainable water-use behaviour benefits individual farmers and the community.</x:v>
      </x:c>
      <x:c r="S40" t="str">
        <x:v>Water management for irrigation, crop yield and social attitudes: a socio-agricultural agent-based model to explore a collective action problem</x:v>
      </x:c>
    </x:row>
    <x:row r="41">
      <x:c r="A41" t="str">
        <x:v>S40</x:v>
      </x:c>
      <x:c r="B41" t="str">
        <x:v>SF40</x:v>
      </x:c>
      <x:c r="C41" t="str">
        <x:v>Citation search +19</x:v>
      </x:c>
      <x:c r="D41" t="n">
        <x:v>2011</x:v>
      </x:c>
      <x:c r="E41" t="str">
        <x:v>2010–2019</x:v>
      </x:c>
      <x:c r="F41" t="str">
        <x:v>Crop / farm management</x:v>
      </x:c>
      <x:c r="G41" t="str">
        <x:v>Policy, scenario &amp; socio-ecological impact assessment</x:v>
      </x:c>
      <x:c r="H41" t="str">
        <x:v>Integrated-system</x:v>
      </x:c>
      <x:c r="I41" t="str">
        <x:v>Simulation</x:v>
      </x:c>
      <x:c r="J41" t="str">
        <x:v>Direct</x:v>
      </x:c>
      <x:c r="K41" t="str">
        <x:v>Yes</x:v>
      </x:c>
      <x:c r="L41" t="str">
        <x:v>Simulation model; Policy-evaluation framework; Coupled socio-hydrological/agronomic model</x:v>
      </x:c>
      <x:c r="M41" t="str">
        <x:v>Yes</x:v>
      </x:c>
      <x:c r="N41" t="str">
        <x:v>No</x:v>
      </x:c>
      <x:c r="O41" t="str">
        <x:v>Yes</x:v>
      </x:c>
      <x:c r="P41" t="str">
        <x:v>No</x:v>
      </x:c>
      <x:c r="Q41" t="str">
        <x:v>No</x:v>
      </x:c>
      <x:c r="R41" t="str">
        <x:v>Represent heterogeneous adaptive farmer decisions and innovation diffusion to evaluate watershed-scale agricultural and water-quality outcomes under market/policy scenarios.</x:v>
      </x:c>
      <x:c r="S41" t="str">
        <x:v>An agent-based model of farmer decision-making and water quality impacts at the watershed scale under markets for carbon allowances and a second-generation biofuel crop</x:v>
      </x:c>
    </x:row>
    <x:row r="42">
      <x:c r="A42" t="str">
        <x:v>S41</x:v>
      </x:c>
      <x:c r="B42" t="str">
        <x:v>SF41</x:v>
      </x:c>
      <x:c r="C42" t="str">
        <x:v>Citation search +19</x:v>
      </x:c>
      <x:c r="D42" t="n">
        <x:v>2018</x:v>
      </x:c>
      <x:c r="E42" t="str">
        <x:v>2010–2019</x:v>
      </x:c>
      <x:c r="F42" t="str">
        <x:v>Irrigation / water management</x:v>
      </x:c>
      <x:c r="G42" t="str">
        <x:v>Operational resource allocation, scheduling &amp; control</x:v>
      </x:c>
      <x:c r="H42" t="str">
        <x:v>Integrated-system</x:v>
      </x:c>
      <x:c r="I42" t="str">
        <x:v>Simulation</x:v>
      </x:c>
      <x:c r="J42" t="str">
        <x:v>Direct</x:v>
      </x:c>
      <x:c r="K42" t="str">
        <x:v>Yes</x:v>
      </x:c>
      <x:c r="L42" t="str">
        <x:v>Simulation model; Decision-support/optimisation framework; Coordination/policy mechanism</x:v>
      </x:c>
      <x:c r="M42" t="str">
        <x:v>Yes</x:v>
      </x:c>
      <x:c r="N42" t="str">
        <x:v>Yes</x:v>
      </x:c>
      <x:c r="O42" t="str">
        <x:v>Yes</x:v>
      </x:c>
      <x:c r="P42" t="str">
        <x:v>Yes</x:v>
      </x:c>
      <x:c r="Q42" t="str">
        <x:v>No</x:v>
      </x:c>
      <x:c r="R42" t="str">
        <x:v>Coordinate farmer water-demand reduction under limited government allocations while preserving economic viability through crop-pattern optimisation.</x:v>
      </x:c>
      <x:c r="S42" t="str">
        <x:v>A hybrid TOPSIS-agent-based framework for reducing the water demand requested by stakeholders with considering the agents’ characteristics and optimization of cropping pattern</x:v>
      </x:c>
    </x:row>
    <x:row r="43">
      <x:c r="A43" t="str">
        <x:v>S42</x:v>
      </x:c>
      <x:c r="B43" t="str">
        <x:v>SF42</x:v>
      </x:c>
      <x:c r="C43" t="str">
        <x:v>Citation search +19</x:v>
      </x:c>
      <x:c r="D43" t="n">
        <x:v>2014</x:v>
      </x:c>
      <x:c r="E43" t="str">
        <x:v>2010–2019</x:v>
      </x:c>
      <x:c r="F43" t="str">
        <x:v>Irrigation / water management</x:v>
      </x:c>
      <x:c r="G43" t="str">
        <x:v>Policy, scenario &amp; socio-ecological impact assessment</x:v>
      </x:c>
      <x:c r="H43" t="str">
        <x:v>Integrated-system</x:v>
      </x:c>
      <x:c r="I43" t="str">
        <x:v>Simulation</x:v>
      </x:c>
      <x:c r="J43" t="str">
        <x:v>Direct</x:v>
      </x:c>
      <x:c r="K43" t="str">
        <x:v>Yes</x:v>
      </x:c>
      <x:c r="L43" t="str">
        <x:v>Simulation model; MAS platform component; Decision-support/participatory assessment framework</x:v>
      </x:c>
      <x:c r="M43" t="str">
        <x:v>Yes</x:v>
      </x:c>
      <x:c r="N43" t="str">
        <x:v>No</x:v>
      </x:c>
      <x:c r="O43" t="str">
        <x:v>Yes</x:v>
      </x:c>
      <x:c r="P43" t="str">
        <x:v>No</x:v>
      </x:c>
      <x:c r="Q43" t="str">
        <x:v>Yes</x:v>
      </x:c>
      <x:c r="R43" t="str">
        <x:v>Simulate farm-level irrigation decisions and their basin-scale hydrological consequences to support participatory design and assessment of cropping-system and water-management alternatives.</x:v>
      </x:c>
      <x:c r="S43" t="str">
        <x:v>Fine spatio-temporal simulation of cropping and farming systems effects on irrigation withdrawal dynamics within a river basin</x:v>
      </x:c>
    </x:row>
    <x:row r="44">
      <x:c r="A44" t="str">
        <x:v>S43</x:v>
      </x:c>
      <x:c r="B44" t="str">
        <x:v>SF43</x:v>
      </x:c>
      <x:c r="C44" t="str">
        <x:v>Citation search +19</x:v>
      </x:c>
      <x:c r="D44" t="n">
        <x:v>2001</x:v>
      </x:c>
      <x:c r="E44" t="str">
        <x:v>2001–2009 foundational</x:v>
      </x:c>
      <x:c r="F44" t="str">
        <x:v>Crop / farm management</x:v>
      </x:c>
      <x:c r="G44" t="str">
        <x:v>Policy, scenario &amp; socio-ecological impact assessment</x:v>
      </x:c>
      <x:c r="H44" t="str">
        <x:v>Integrated-system</x:v>
      </x:c>
      <x:c r="I44" t="str">
        <x:v>Simulation</x:v>
      </x:c>
      <x:c r="J44" t="str">
        <x:v>Direct</x:v>
      </x:c>
      <x:c r="K44" t="str">
        <x:v>Yes</x:v>
      </x:c>
      <x:c r="L44" t="str">
        <x:v>Simulation model; Methodological framework; Policy-evaluation framework</x:v>
      </x:c>
      <x:c r="M44" t="str">
        <x:v>Yes</x:v>
      </x:c>
      <x:c r="N44" t="str">
        <x:v>No</x:v>
      </x:c>
      <x:c r="O44" t="str">
        <x:v>Yes</x:v>
      </x:c>
      <x:c r="P44" t="str">
        <x:v>No</x:v>
      </x:c>
      <x:c r="Q44" t="str">
        <x:v>Yes</x:v>
      </x:c>
      <x:c r="R44" t="str">
        <x:v>Explore how decentralised farm decisions, social diffusion, imperfect land/water markets and irrigation feedback generate regional technology adoption, structural change and policy outcomes.</x:v>
      </x:c>
      <x:c r="S44" t="str">
        <x:v>Agent-based spatial models applied to agriculture: a simulation tool for technology diffusion, resource use changes and policy analysis</x:v>
      </x:c>
    </x:row>
    <x:row r="45">
      <x:c r="A45" t="str">
        <x:v>S44</x:v>
      </x:c>
      <x:c r="B45" t="str">
        <x:v>SF44</x:v>
      </x:c>
      <x:c r="C45" t="str">
        <x:v>Citation search +19</x:v>
      </x:c>
      <x:c r="D45" t="n">
        <x:v>2003</x:v>
      </x:c>
      <x:c r="E45" t="str">
        <x:v>2001–2009 foundational</x:v>
      </x:c>
      <x:c r="F45" t="str">
        <x:v>Irrigation / water management</x:v>
      </x:c>
      <x:c r="G45" t="str">
        <x:v>Trading, negotiation &amp; collective-resource governance</x:v>
      </x:c>
      <x:c r="H45" t="str">
        <x:v>Integrated-system</x:v>
      </x:c>
      <x:c r="I45" t="str">
        <x:v>Simulation</x:v>
      </x:c>
      <x:c r="J45" t="str">
        <x:v>Direct</x:v>
      </x:c>
      <x:c r="K45" t="str">
        <x:v>Yes</x:v>
      </x:c>
      <x:c r="L45" t="str">
        <x:v>Simulation model; Coordination/negotiation support framework; Policy-evaluation framework</x:v>
      </x:c>
      <x:c r="M45" t="str">
        <x:v>Yes</x:v>
      </x:c>
      <x:c r="N45" t="str">
        <x:v>No</x:v>
      </x:c>
      <x:c r="O45" t="str">
        <x:v>Yes</x:v>
      </x:c>
      <x:c r="P45" t="str">
        <x:v>Yes</x:v>
      </x:c>
      <x:c r="Q45" t="str">
        <x:v>No</x:v>
      </x:c>
      <x:c r="R45" t="str">
        <x:v>Explain and explore groundwater overexploitation as an emergent result of farmer investment, imitation, land/well interaction and shared aquifer dynamics, and assess management interventions.</x:v>
      </x:c>
      <x:c r="S45" t="str">
        <x:v>SINUSE: A multi-agent model to negotiate water demand management on a free access water table</x:v>
      </x:c>
    </x:row>
    <x:row r="46">
      <x:c r="A46" t="str">
        <x:v>S45</x:v>
      </x:c>
      <x:c r="B46" t="str">
        <x:v>SF45</x:v>
      </x:c>
      <x:c r="C46" t="str">
        <x:v>Citation search +19</x:v>
      </x:c>
      <x:c r="D46" t="n">
        <x:v>2003</x:v>
      </x:c>
      <x:c r="E46" t="str">
        <x:v>2001–2009 foundational</x:v>
      </x:c>
      <x:c r="F46" t="str">
        <x:v>Irrigation / water management</x:v>
      </x:c>
      <x:c r="G46" t="str">
        <x:v>Trading, negotiation &amp; collective-resource governance</x:v>
      </x:c>
      <x:c r="H46" t="str">
        <x:v>Integrated-system</x:v>
      </x:c>
      <x:c r="I46" t="str">
        <x:v>Simulation</x:v>
      </x:c>
      <x:c r="J46" t="str">
        <x:v>Direct</x:v>
      </x:c>
      <x:c r="K46" t="str">
        <x:v>Yes</x:v>
      </x:c>
      <x:c r="L46" t="str">
        <x:v>Simulation model; Coordination/negotiation mechanism; Decision-support/exploratory framework</x:v>
      </x:c>
      <x:c r="M46" t="str">
        <x:v>Yes</x:v>
      </x:c>
      <x:c r="N46" t="str">
        <x:v>No</x:v>
      </x:c>
      <x:c r="O46" t="str">
        <x:v>Yes</x:v>
      </x:c>
      <x:c r="P46" t="str">
        <x:v>Yes</x:v>
      </x:c>
      <x:c r="Q46" t="str">
        <x:v>No</x:v>
      </x:c>
      <x:c r="R46" t="str">
        <x:v>Explore catchment-scale irrigation allocation and livelihood consequences emerging from farmer decisions, canal management and negotiation between irrigation managers under alternative conflict/climate scenarios.</x:v>
      </x:c>
      <x:c r="S46" t="str">
        <x:v>Agent based simulation of a small catchment water management in northern Thailand: Description of the CATCHSCAPE model</x:v>
      </x:c>
    </x:row>
    <x:row r="47">
      <x:c r="A47" t="str">
        <x:v>S46</x:v>
      </x:c>
      <x:c r="B47" t="str">
        <x:v>SF46</x:v>
      </x:c>
      <x:c r="C47" t="str">
        <x:v>Citation search +19</x:v>
      </x:c>
      <x:c r="D47" t="n">
        <x:v>2004</x:v>
      </x:c>
      <x:c r="E47" t="str">
        <x:v>2001–2009 foundational</x:v>
      </x:c>
      <x:c r="F47" t="str">
        <x:v>Irrigation / water management</x:v>
      </x:c>
      <x:c r="G47" t="str">
        <x:v>Trading, negotiation &amp; collective-resource governance</x:v>
      </x:c>
      <x:c r="H47" t="str">
        <x:v>Integrated-system</x:v>
      </x:c>
      <x:c r="I47" t="str">
        <x:v>Simulation</x:v>
      </x:c>
      <x:c r="J47" t="str">
        <x:v>Direct</x:v>
      </x:c>
      <x:c r="K47" t="str">
        <x:v>Yes</x:v>
      </x:c>
      <x:c r="L47" t="str">
        <x:v>Simulation model; Coordination/organisation framework; Theory-building/virtual-laboratory method</x:v>
      </x:c>
      <x:c r="M47" t="str">
        <x:v>Yes</x:v>
      </x:c>
      <x:c r="N47" t="str">
        <x:v>No</x:v>
      </x:c>
      <x:c r="O47" t="str">
        <x:v>Yes</x:v>
      </x:c>
      <x:c r="P47" t="str">
        <x:v>Yes</x:v>
      </x:c>
      <x:c r="Q47" t="str">
        <x:v>No</x:v>
      </x:c>
      <x:c r="R47" t="str">
        <x:v>Explore how coordination patterns among farmers/groups, water/credit institutions and environmental conditions generate viable or non-viable irrigated-system trajectories.</x:v>
      </x:c>
      <x:c r="S47" t="str">
        <x:v>Suitability of Multi-Agent Simulations to study irrigated system viability: application to case studies in the Senegal River Valley</x:v>
      </x:c>
    </x:row>
    <x:row r="48">
      <x:c r="A48" t="str">
        <x:v>S47</x:v>
      </x:c>
      <x:c r="B48" t="str">
        <x:v>SF47</x:v>
      </x:c>
      <x:c r="C48" t="str">
        <x:v>Citation search +19</x:v>
      </x:c>
      <x:c r="D48" t="n">
        <x:v>2007</x:v>
      </x:c>
      <x:c r="E48" t="str">
        <x:v>2001–2009 foundational</x:v>
      </x:c>
      <x:c r="F48" t="str">
        <x:v>Soil / nutrient / environmental management</x:v>
      </x:c>
      <x:c r="G48" t="str">
        <x:v>Policy, scenario &amp; socio-ecological impact assessment</x:v>
      </x:c>
      <x:c r="H48" t="str">
        <x:v>Integrated-system</x:v>
      </x:c>
      <x:c r="I48" t="str">
        <x:v>Simulation</x:v>
      </x:c>
      <x:c r="J48" t="str">
        <x:v>Direct</x:v>
      </x:c>
      <x:c r="K48" t="str">
        <x:v>Yes</x:v>
      </x:c>
      <x:c r="L48" t="str">
        <x:v>Simulation model; Integrated bio-economic model; Policy-analysis/decision-support framework</x:v>
      </x:c>
      <x:c r="M48" t="str">
        <x:v>Yes</x:v>
      </x:c>
      <x:c r="N48" t="str">
        <x:v>No</x:v>
      </x:c>
      <x:c r="O48" t="str">
        <x:v>Yes</x:v>
      </x:c>
      <x:c r="P48" t="str">
        <x:v>No</x:v>
      </x:c>
      <x:c r="Q48" t="str">
        <x:v>No</x:v>
      </x:c>
      <x:c r="R48" t="str">
        <x:v>Simulate heterogeneous farm-household investment, production, consumption and technology-adoption decisions together with soil-nutrient/crop-yield dynamics for ex-ante agricultural policy assessment.</x:v>
      </x:c>
      <x:c r="S48" t="str">
        <x:v>Simulating soil fertility and poverty dynamics in Uganda: A bio-economic multi-agent systems approach</x:v>
      </x:c>
    </x:row>
    <x:row r="49">
      <x:c r="A49" t="str">
        <x:v>S48</x:v>
      </x:c>
      <x:c r="B49" t="str">
        <x:v>SF48</x:v>
      </x:c>
      <x:c r="C49" t="str">
        <x:v>Citation search +19</x:v>
      </x:c>
      <x:c r="D49" t="n">
        <x:v>2025</x:v>
      </x:c>
      <x:c r="E49" t="str">
        <x:v>2020–2026</x:v>
      </x:c>
      <x:c r="F49" t="str">
        <x:v>Irrigation / water management</x:v>
      </x:c>
      <x:c r="G49" t="str">
        <x:v>Operational resource allocation, scheduling &amp; control</x:v>
      </x:c>
      <x:c r="H49" t="str">
        <x:v>Integrated-system</x:v>
      </x:c>
      <x:c r="I49" t="str">
        <x:v>Simulation</x:v>
      </x:c>
      <x:c r="J49" t="str">
        <x:v>Direct</x:v>
      </x:c>
      <x:c r="K49" t="str">
        <x:v>Yes</x:v>
      </x:c>
      <x:c r="L49" t="str">
        <x:v>Simulation model; Water-allocation/coordination mechanism; Decision-support/optimisation framework</x:v>
      </x:c>
      <x:c r="M49" t="str">
        <x:v>Yes</x:v>
      </x:c>
      <x:c r="N49" t="str">
        <x:v>Yes</x:v>
      </x:c>
      <x:c r="O49" t="str">
        <x:v>Yes</x:v>
      </x:c>
      <x:c r="P49" t="str">
        <x:v>Yes</x:v>
      </x:c>
      <x:c r="Q49" t="str">
        <x:v>No</x:v>
      </x:c>
      <x:c r="R49" t="str">
        <x:v>Allocate scarce reservoir water among heterogeneous agricultural agents adaptively, balancing total net profit, fairness and financial satisfaction under changing hydrological conditions.</x:v>
      </x:c>
      <x:c r="S49" t="str">
        <x:v>An adaptive multi-agent model for water allocation under scarcity: application of bankruptcy methods</x:v>
      </x:c>
    </x:row>
    <x:row r="50">
      <x:c r="A50" t="str">
        <x:v>S49</x:v>
      </x:c>
      <x:c r="B50" t="str">
        <x:v>SF49</x:v>
      </x:c>
      <x:c r="C50" t="str">
        <x:v>Citation search +19</x:v>
      </x:c>
      <x:c r="D50" t="n">
        <x:v>2022</x:v>
      </x:c>
      <x:c r="E50" t="str">
        <x:v>2020–2026</x:v>
      </x:c>
      <x:c r="F50" t="str">
        <x:v>Irrigation / water management</x:v>
      </x:c>
      <x:c r="G50" t="str">
        <x:v>Operational resource allocation, scheduling &amp; control</x:v>
      </x:c>
      <x:c r="H50" t="str">
        <x:v>Single-domain</x:v>
      </x:c>
      <x:c r="I50" t="str">
        <x:v>Simulation</x:v>
      </x:c>
      <x:c r="J50" t="str">
        <x:v>Direct</x:v>
      </x:c>
      <x:c r="K50" t="str">
        <x:v>Yes</x:v>
      </x:c>
      <x:c r="L50" t="str">
        <x:v>Algorithm; Coordination/resource-allocation mechanism; Simulation model</x:v>
      </x:c>
      <x:c r="M50" t="str">
        <x:v>Yes</x:v>
      </x:c>
      <x:c r="N50" t="str">
        <x:v>Yes</x:v>
      </x:c>
      <x:c r="O50" t="str">
        <x:v>No</x:v>
      </x:c>
      <x:c r="P50" t="str">
        <x:v>Yes</x:v>
      </x:c>
      <x:c r="Q50" t="str">
        <x:v>No</x:v>
      </x:c>
      <x:c r="R50" t="str">
        <x:v>Coordinate scarce irrigation machinery and water across heterogeneous fields to improve crop production/resource efficiency while satisfying machine capacity, travel and replenishment constraints.</x:v>
      </x:c>
      <x:c r="S50" t="str">
        <x:v>Optimal Irrigation Allocation for Large-Scale Arable Farming</x:v>
      </x:c>
    </x:row>
    <x:row r="51">
      <x:c r="A51" t="str">
        <x:v>S50</x:v>
      </x:c>
      <x:c r="B51" t="str">
        <x:v>SF50</x:v>
      </x:c>
      <x:c r="C51" t="str">
        <x:v>Citation search +19</x:v>
      </x:c>
      <x:c r="D51" t="n">
        <x:v>2023</x:v>
      </x:c>
      <x:c r="E51" t="str">
        <x:v>2020–2026</x:v>
      </x:c>
      <x:c r="F51" t="str">
        <x:v>Workforce / robotics / task allocation</x:v>
      </x:c>
      <x:c r="G51" t="str">
        <x:v>Operational resource allocation, scheduling &amp; control</x:v>
      </x:c>
      <x:c r="H51" t="str">
        <x:v>Single-domain</x:v>
      </x:c>
      <x:c r="I51" t="str">
        <x:v>Simulation</x:v>
      </x:c>
      <x:c r="J51" t="str">
        <x:v>Indirect</x:v>
      </x:c>
      <x:c r="K51" t="str">
        <x:v>Yes</x:v>
      </x:c>
      <x:c r="L51" t="str">
        <x:v>Algorithm; Task-allocation/coordination mechanism; Simulation model</x:v>
      </x:c>
      <x:c r="M51" t="str">
        <x:v>Yes</x:v>
      </x:c>
      <x:c r="N51" t="str">
        <x:v>Yes</x:v>
      </x:c>
      <x:c r="O51" t="str">
        <x:v>No</x:v>
      </x:c>
      <x:c r="P51" t="str">
        <x:v>Yes</x:v>
      </x:c>
      <x:c r="Q51" t="str">
        <x:v>No</x:v>
      </x:c>
      <x:c r="R51" t="str">
        <x:v>Coordinate multiple agricultural robots across spatially distributed field tasks to obtain efficient, balanced task assignments and support unmanned-farm scheduling.</x:v>
      </x:c>
      <x:c r="S51" t="str">
        <x:v>Multi-Robot Task Allocation in Agriculture Scenarios Based on the Improved NSGA-II Algorithm</x:v>
      </x:c>
    </x:row>
    <x:row r="52">
      <x:c r="A52" t="str">
        <x:v>S51</x:v>
      </x:c>
      <x:c r="B52" t="str">
        <x:v>SF51</x:v>
      </x:c>
      <x:c r="C52" t="str">
        <x:v>Citation search +19</x:v>
      </x:c>
      <x:c r="D52" t="n">
        <x:v>2021</x:v>
      </x:c>
      <x:c r="E52" t="str">
        <x:v>2020–2026</x:v>
      </x:c>
      <x:c r="F52" t="str">
        <x:v>Livestock / integrated farming</x:v>
      </x:c>
      <x:c r="G52" t="str">
        <x:v>Trading, negotiation &amp; collective-resource governance</x:v>
      </x:c>
      <x:c r="H52" t="str">
        <x:v>Multi-domain</x:v>
      </x:c>
      <x:c r="I52" t="str">
        <x:v>Simulation</x:v>
      </x:c>
      <x:c r="J52" t="str">
        <x:v>Direct</x:v>
      </x:c>
      <x:c r="K52" t="str">
        <x:v>Yes</x:v>
      </x:c>
      <x:c r="L52" t="str">
        <x:v>Simulation model; Integrated assessment; Decision-support framework; Participatory scenario analysis</x:v>
      </x:c>
      <x:c r="M52" t="str">
        <x:v>Yes</x:v>
      </x:c>
      <x:c r="N52" t="str">
        <x:v>No</x:v>
      </x:c>
      <x:c r="O52" t="str">
        <x:v>Yes</x:v>
      </x:c>
      <x:c r="P52" t="str">
        <x:v>No</x:v>
      </x:c>
      <x:c r="Q52" t="str">
        <x:v>No</x:v>
      </x:c>
      <x:c r="R52" t="str">
        <x:v>Simulate coordinated crop-livestock territorial integration and local feed exchanges, evaluating how alternative cooperation/rotation strategies affect collective self-sufficiency and multi-dimensional sustainability.</x:v>
      </x:c>
      <x:c r="S52" t="str">
        <x:v>Fostering local crop-livestock integration via legume exchanges using an innovative integrated assessment and modelling approach based on the MAELIA platform</x:v>
      </x:c>
    </x:row>
    <x:row r="53">
      <x:c r="A53" t="str">
        <x:v>S52</x:v>
      </x:c>
      <x:c r="B53" t="str">
        <x:v>SF42</x:v>
      </x:c>
      <x:c r="C53" t="str">
        <x:v>Citation search +19</x:v>
      </x:c>
      <x:c r="D53" t="n">
        <x:v>2024</x:v>
      </x:c>
      <x:c r="E53" t="str">
        <x:v>2020–2026</x:v>
      </x:c>
      <x:c r="F53" t="str">
        <x:v>Energy / WEF nexus</x:v>
      </x:c>
      <x:c r="G53" t="str">
        <x:v>Policy, scenario &amp; socio-ecological impact assessment</x:v>
      </x:c>
      <x:c r="H53" t="str">
        <x:v>Integrated-system</x:v>
      </x:c>
      <x:c r="I53" t="str">
        <x:v>Simulation</x:v>
      </x:c>
      <x:c r="J53" t="str">
        <x:v>Direct</x:v>
      </x:c>
      <x:c r="K53" t="str">
        <x:v>Yes</x:v>
      </x:c>
      <x:c r="L53" t="str">
        <x:v>Platform/framework; Simulation model; Decision-support system; Multi-criteria land-allocation method</x:v>
      </x:c>
      <x:c r="M53" t="str">
        <x:v>Yes</x:v>
      </x:c>
      <x:c r="N53" t="str">
        <x:v>Yes</x:v>
      </x:c>
      <x:c r="O53" t="str">
        <x:v>Yes</x:v>
      </x:c>
      <x:c r="P53" t="str">
        <x:v>No</x:v>
      </x:c>
      <x:c r="Q53" t="str">
        <x:v>Yes</x:v>
      </x:c>
      <x:c r="R53" t="str">
        <x:v>Support local/regional land-use and water-energy-food decisions by simulating farm-water dynamics and evaluating crop, agrivoltaic, photovoltaic and wind alternatives across an agricultural territory.</x:v>
      </x:c>
      <x:c r="S53" t="str">
        <x:v>Multi-actor approach to manage the water-energy-food nexus at territory scale</x:v>
      </x:c>
    </x:row>
    <x:row r="54">
      <x:c r="A54" t="str">
        <x:v>S53</x:v>
      </x:c>
      <x:c r="B54" t="str">
        <x:v>SF49</x:v>
      </x:c>
      <x:c r="C54" t="str">
        <x:v>Citation search +19</x:v>
      </x:c>
      <x:c r="D54" t="n">
        <x:v>2019</x:v>
      </x:c>
      <x:c r="E54" t="str">
        <x:v>2010–2019</x:v>
      </x:c>
      <x:c r="F54" t="str">
        <x:v>Irrigation / water management</x:v>
      </x:c>
      <x:c r="G54" t="str">
        <x:v>Operational resource allocation, scheduling &amp; control</x:v>
      </x:c>
      <x:c r="H54" t="str">
        <x:v>Single-domain</x:v>
      </x:c>
      <x:c r="I54" t="str">
        <x:v>Simulation</x:v>
      </x:c>
      <x:c r="J54" t="str">
        <x:v>Direct</x:v>
      </x:c>
      <x:c r="K54" t="str">
        <x:v>Yes</x:v>
      </x:c>
      <x:c r="L54" t="str">
        <x:v>Algorithm; Coordination/resource-allocation mechanism; Simulation model</x:v>
      </x:c>
      <x:c r="M54" t="str">
        <x:v>Yes</x:v>
      </x:c>
      <x:c r="N54" t="str">
        <x:v>Yes</x:v>
      </x:c>
      <x:c r="O54" t="str">
        <x:v>No</x:v>
      </x:c>
      <x:c r="P54" t="str">
        <x:v>Yes</x:v>
      </x:c>
      <x:c r="Q54" t="str">
        <x:v>No</x:v>
      </x:c>
      <x:c r="R54" t="str">
        <x:v>Coordinate limited irrigation machinery and water across many fields while linking short-term irrigation actions to long-term crop yield/profit.</x:v>
      </x:c>
      <x:c r="S54" t="str">
        <x:v>Optimal irrigation management for large-scale arable farming using model predictive control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30" hidden="0" customWidth="1"/>
    <x:col min="3" max="3" width="12" hidden="0" customWidth="1"/>
    <x:col min="4" max="4" width="48" hidden="0" customWidth="1"/>
    <x:col min="5" max="5" width="45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>
      <x:c r="A1" s="6" t="str">
        <x:v>Study_Family_ID</x:v>
      </x:c>
      <x:c r="B1" s="6" t="str">
        <x:v>Member_Study_IDs</x:v>
      </x:c>
      <x:c r="C1" s="6" t="str">
        <x:v>Member_Count</x:v>
      </x:c>
      <x:c r="D1" s="6" t="str">
        <x:v>Primary_Purpose_Category</x:v>
      </x:c>
      <x:c r="E1" s="6" t="str">
        <x:v>Primary_Domain_Presence</x:v>
      </x:c>
      <x:c r="F1" s="6" t="str">
        <x:v>Irrigation_Domain_Present</x:v>
      </x:c>
      <x:c r="G1" s="6" t="str">
        <x:v>Integrated_System_Present</x:v>
      </x:c>
      <x:c r="H1" s="6" t="str">
        <x:v>Simulation_Present</x:v>
      </x:c>
      <x:c r="I1" s="6" t="str">
        <x:v>Direct_Sustainability_Present</x:v>
      </x:c>
      <x:c r="J1" s="6" t="str">
        <x:v>Resource_Constraint_Present</x:v>
      </x:c>
      <x:c r="K1" s="6" t="str">
        <x:v>Simulation_Model_Contribution</x:v>
      </x:c>
      <x:c r="L1" s="6" t="str">
        <x:v>Algorithm_Optimisation_Control_Contribution</x:v>
      </x:c>
      <x:c r="M1" s="6" t="str">
        <x:v>DecisionSupport_Assessment_Policy_Contribution</x:v>
      </x:c>
      <x:c r="N1" s="6" t="str">
        <x:v>Coordination_Allocation_Negotiation_Contribution</x:v>
      </x:c>
      <x:c r="O1" s="6" t="str">
        <x:v>Platform_Architecture_Contribution</x:v>
      </x:c>
    </x:row>
    <x:row r="2">
      <x:c r="A2" t="str">
        <x:v>SF01</x:v>
      </x:c>
      <x:c r="B2" t="str">
        <x:v>S01</x:v>
      </x:c>
      <x:c r="C2" t="n">
        <x:v>1</x:v>
      </x:c>
      <x:c r="D2" t="str">
        <x:v>Policy, scenario &amp; socio-ecological impact assessment</x:v>
      </x:c>
      <x:c r="E2" t="str">
        <x:v>Livestock / integrated farming</x:v>
      </x:c>
      <x:c r="F2" t="str">
        <x:v>No</x:v>
      </x:c>
      <x:c r="G2" t="str">
        <x:v>Yes</x:v>
      </x:c>
      <x:c r="H2" t="str">
        <x:v>Yes</x:v>
      </x:c>
      <x:c r="I2" t="str">
        <x:v>Yes</x:v>
      </x:c>
      <x:c r="J2" t="str">
        <x:v>Yes</x:v>
      </x:c>
      <x:c r="K2" t="str">
        <x:v>Yes</x:v>
      </x:c>
      <x:c r="L2" t="str">
        <x:v>No</x:v>
      </x:c>
      <x:c r="M2" t="str">
        <x:v>Yes</x:v>
      </x:c>
      <x:c r="N2" t="str">
        <x:v>No</x:v>
      </x:c>
      <x:c r="O2" t="str">
        <x:v>No</x:v>
      </x:c>
    </x:row>
    <x:row r="3">
      <x:c r="A3" t="str">
        <x:v>SF02</x:v>
      </x:c>
      <x:c r="B3" t="str">
        <x:v>S02</x:v>
      </x:c>
      <x:c r="C3" t="n">
        <x:v>1</x:v>
      </x:c>
      <x:c r="D3" t="str">
        <x:v>Operational resource allocation, scheduling &amp; control</x:v>
      </x:c>
      <x:c r="E3" t="str">
        <x:v>Crop / farm management</x:v>
      </x:c>
      <x:c r="F3" t="str">
        <x:v>No</x:v>
      </x:c>
      <x:c r="G3" t="str">
        <x:v>Yes</x:v>
      </x:c>
      <x:c r="H3" t="str">
        <x:v>No</x:v>
      </x:c>
      <x:c r="I3" t="str">
        <x:v>No</x:v>
      </x:c>
      <x:c r="J3" t="str">
        <x:v>Yes</x:v>
      </x:c>
      <x:c r="K3" t="str">
        <x:v>No</x:v>
      </x:c>
      <x:c r="L3" t="str">
        <x:v>No</x:v>
      </x:c>
      <x:c r="M3" t="str">
        <x:v>Yes</x:v>
      </x:c>
      <x:c r="N3" t="str">
        <x:v>Yes</x:v>
      </x:c>
      <x:c r="O3" t="str">
        <x:v>Yes</x:v>
      </x:c>
    </x:row>
    <x:row r="4">
      <x:c r="A4" t="str">
        <x:v>SF03</x:v>
      </x:c>
      <x:c r="B4" t="str">
        <x:v>S03</x:v>
      </x:c>
      <x:c r="C4" t="n">
        <x:v>1</x:v>
      </x:c>
      <x:c r="D4" t="str">
        <x:v>Policy, scenario &amp; socio-ecological impact assessment</x:v>
      </x:c>
      <x:c r="E4" t="str">
        <x:v>Crop / farm management</x:v>
      </x:c>
      <x:c r="F4" t="str">
        <x:v>No</x:v>
      </x:c>
      <x:c r="G4" t="str">
        <x:v>Yes</x:v>
      </x:c>
      <x:c r="H4" t="str">
        <x:v>Yes</x:v>
      </x:c>
      <x:c r="I4" t="str">
        <x:v>No</x:v>
      </x:c>
      <x:c r="J4" t="str">
        <x:v>Yes</x:v>
      </x:c>
      <x:c r="K4" t="str">
        <x:v>Yes</x:v>
      </x:c>
      <x:c r="L4" t="str">
        <x:v>Yes</x:v>
      </x:c>
      <x:c r="M4" t="str">
        <x:v>Yes</x:v>
      </x:c>
      <x:c r="N4" t="str">
        <x:v>No</x:v>
      </x:c>
      <x:c r="O4" t="str">
        <x:v>No</x:v>
      </x:c>
    </x:row>
    <x:row r="5">
      <x:c r="A5" t="str">
        <x:v>SF04</x:v>
      </x:c>
      <x:c r="B5" t="str">
        <x:v>S04</x:v>
      </x:c>
      <x:c r="C5" t="n">
        <x:v>1</x:v>
      </x:c>
      <x:c r="D5" t="str">
        <x:v>Decision support, monitoring &amp; diagnosis</x:v>
      </x:c>
      <x:c r="E5" t="str">
        <x:v>Livestock / integrated farming</x:v>
      </x:c>
      <x:c r="F5" t="str">
        <x:v>No</x:v>
      </x:c>
      <x:c r="G5" t="str">
        <x:v>No</x:v>
      </x:c>
      <x:c r="H5" t="str">
        <x:v>No</x:v>
      </x:c>
      <x:c r="I5" t="str">
        <x:v>No</x:v>
      </x:c>
      <x:c r="J5" t="str">
        <x:v>No</x:v>
      </x:c>
      <x:c r="K5" t="str">
        <x:v>No</x:v>
      </x:c>
      <x:c r="L5" t="str">
        <x:v>No</x:v>
      </x:c>
      <x:c r="M5" t="str">
        <x:v>Yes</x:v>
      </x:c>
      <x:c r="N5" t="str">
        <x:v>No</x:v>
      </x:c>
      <x:c r="O5" t="str">
        <x:v>Yes</x:v>
      </x:c>
    </x:row>
    <x:row r="6">
      <x:c r="A6" t="str">
        <x:v>SF05</x:v>
      </x:c>
      <x:c r="B6" t="str">
        <x:v>S05; S11; S29</x:v>
      </x:c>
      <x:c r="C6" t="n">
        <x:v>3</x:v>
      </x:c>
      <x:c r="D6" t="str">
        <x:v>Trading, negotiation &amp; collective-resource governance</x:v>
      </x:c>
      <x:c r="E6" t="str">
        <x:v>Energy / WEF nexus</x:v>
      </x:c>
      <x:c r="F6" t="str">
        <x:v>No</x:v>
      </x:c>
      <x:c r="G6" t="str">
        <x:v>No</x:v>
      </x:c>
      <x:c r="H6" t="str">
        <x:v>Yes</x:v>
      </x:c>
      <x:c r="I6" t="str">
        <x:v>Yes</x:v>
      </x:c>
      <x:c r="J6" t="str">
        <x:v>Yes</x:v>
      </x:c>
      <x:c r="K6" t="str">
        <x:v>Yes</x:v>
      </x:c>
      <x:c r="L6" t="str">
        <x:v>Yes</x:v>
      </x:c>
      <x:c r="M6" t="str">
        <x:v>Yes</x:v>
      </x:c>
      <x:c r="N6" t="str">
        <x:v>Yes</x:v>
      </x:c>
      <x:c r="O6" t="str">
        <x:v>Yes</x:v>
      </x:c>
    </x:row>
    <x:row r="7">
      <x:c r="A7" t="str">
        <x:v>SF06</x:v>
      </x:c>
      <x:c r="B7" t="str">
        <x:v>S06</x:v>
      </x:c>
      <x:c r="C7" t="n">
        <x:v>1</x:v>
      </x:c>
      <x:c r="D7" t="str">
        <x:v>Operational resource allocation, scheduling &amp; control</x:v>
      </x:c>
      <x:c r="E7" t="str">
        <x:v>Irrigation / water management</x:v>
      </x:c>
      <x:c r="F7" t="str">
        <x:v>Yes</x:v>
      </x:c>
      <x:c r="G7" t="str">
        <x:v>No</x:v>
      </x:c>
      <x:c r="H7" t="str">
        <x:v>No</x:v>
      </x:c>
      <x:c r="I7" t="str">
        <x:v>Yes</x:v>
      </x:c>
      <x:c r="J7" t="str">
        <x:v>Yes</x:v>
      </x:c>
      <x:c r="K7" t="str">
        <x:v>No</x:v>
      </x:c>
      <x:c r="L7" t="str">
        <x:v>Yes</x:v>
      </x:c>
      <x:c r="M7" t="str">
        <x:v>Yes</x:v>
      </x:c>
      <x:c r="N7" t="str">
        <x:v>Yes</x:v>
      </x:c>
      <x:c r="O7" t="str">
        <x:v>Yes</x:v>
      </x:c>
    </x:row>
    <x:row r="8">
      <x:c r="A8" t="str">
        <x:v>SF07</x:v>
      </x:c>
      <x:c r="B8" t="str">
        <x:v>S07</x:v>
      </x:c>
      <x:c r="C8" t="n">
        <x:v>1</x:v>
      </x:c>
      <x:c r="D8" t="str">
        <x:v>Operational resource allocation, scheduling &amp; control</x:v>
      </x:c>
      <x:c r="E8" t="str">
        <x:v>Irrigation / water management</x:v>
      </x:c>
      <x:c r="F8" t="str">
        <x:v>Yes</x:v>
      </x:c>
      <x:c r="G8" t="str">
        <x:v>No</x:v>
      </x:c>
      <x:c r="H8" t="str">
        <x:v>Yes</x:v>
      </x:c>
      <x:c r="I8" t="str">
        <x:v>Yes</x:v>
      </x:c>
      <x:c r="J8" t="str">
        <x:v>Yes</x:v>
      </x:c>
      <x:c r="K8" t="str">
        <x:v>No</x:v>
      </x:c>
      <x:c r="L8" t="str">
        <x:v>Yes</x:v>
      </x:c>
      <x:c r="M8" t="str">
        <x:v>No</x:v>
      </x:c>
      <x:c r="N8" t="str">
        <x:v>No</x:v>
      </x:c>
      <x:c r="O8" t="str">
        <x:v>No</x:v>
      </x:c>
    </x:row>
    <x:row r="9">
      <x:c r="A9" t="str">
        <x:v>SF08</x:v>
      </x:c>
      <x:c r="B9" t="str">
        <x:v>S08; S23</x:v>
      </x:c>
      <x:c r="C9" t="n">
        <x:v>2</x:v>
      </x:c>
      <x:c r="D9" t="str">
        <x:v>Operational resource allocation, scheduling &amp; control</x:v>
      </x:c>
      <x:c r="E9" t="str">
        <x:v>Irrigation / water management</x:v>
      </x:c>
      <x:c r="F9" t="str">
        <x:v>Yes</x:v>
      </x:c>
      <x:c r="G9" t="str">
        <x:v>No</x:v>
      </x:c>
      <x:c r="H9" t="str">
        <x:v>Yes</x:v>
      </x:c>
      <x:c r="I9" t="str">
        <x:v>Yes</x:v>
      </x:c>
      <x:c r="J9" t="str">
        <x:v>Yes</x:v>
      </x:c>
      <x:c r="K9" t="str">
        <x:v>No</x:v>
      </x:c>
      <x:c r="L9" t="str">
        <x:v>Yes</x:v>
      </x:c>
      <x:c r="M9" t="str">
        <x:v>No</x:v>
      </x:c>
      <x:c r="N9" t="str">
        <x:v>No</x:v>
      </x:c>
      <x:c r="O9" t="str">
        <x:v>Yes</x:v>
      </x:c>
    </x:row>
    <x:row r="10">
      <x:c r="A10" t="str">
        <x:v>SF09</x:v>
      </x:c>
      <x:c r="B10" t="str">
        <x:v>S09</x:v>
      </x:c>
      <x:c r="C10" t="n">
        <x:v>1</x:v>
      </x:c>
      <x:c r="D10" t="str">
        <x:v>Operational resource allocation, scheduling &amp; control</x:v>
      </x:c>
      <x:c r="E10" t="str">
        <x:v>Energy / WEF nexus</x:v>
      </x:c>
      <x:c r="F10" t="str">
        <x:v>No</x:v>
      </x:c>
      <x:c r="G10" t="str">
        <x:v>No</x:v>
      </x:c>
      <x:c r="H10" t="str">
        <x:v>Yes</x:v>
      </x:c>
      <x:c r="I10" t="str">
        <x:v>Yes</x:v>
      </x:c>
      <x:c r="J10" t="str">
        <x:v>Yes</x:v>
      </x:c>
      <x:c r="K10" t="str">
        <x:v>No</x:v>
      </x:c>
      <x:c r="L10" t="str">
        <x:v>Yes</x:v>
      </x:c>
      <x:c r="M10" t="str">
        <x:v>No</x:v>
      </x:c>
      <x:c r="N10" t="str">
        <x:v>Yes</x:v>
      </x:c>
      <x:c r="O10" t="str">
        <x:v>No</x:v>
      </x:c>
    </x:row>
    <x:row r="11">
      <x:c r="A11" t="str">
        <x:v>SF10</x:v>
      </x:c>
      <x:c r="B11" t="str">
        <x:v>S10</x:v>
      </x:c>
      <x:c r="C11" t="n">
        <x:v>1</x:v>
      </x:c>
      <x:c r="D11" t="str">
        <x:v>Policy, scenario &amp; socio-ecological impact assessment</x:v>
      </x:c>
      <x:c r="E11" t="str">
        <x:v>Livestock / integrated farming</x:v>
      </x:c>
      <x:c r="F11" t="str">
        <x:v>No</x:v>
      </x:c>
      <x:c r="G11" t="str">
        <x:v>Yes</x:v>
      </x:c>
      <x:c r="H11" t="str">
        <x:v>Yes</x:v>
      </x:c>
      <x:c r="I11" t="str">
        <x:v>Yes</x:v>
      </x:c>
      <x:c r="J11" t="str">
        <x:v>Yes</x:v>
      </x:c>
      <x:c r="K11" t="str">
        <x:v>Yes</x:v>
      </x:c>
      <x:c r="L11" t="str">
        <x:v>No</x:v>
      </x:c>
      <x:c r="M11" t="str">
        <x:v>No</x:v>
      </x:c>
      <x:c r="N11" t="str">
        <x:v>No</x:v>
      </x:c>
      <x:c r="O11" t="str">
        <x:v>Yes</x:v>
      </x:c>
    </x:row>
    <x:row r="12">
      <x:c r="A12" t="str">
        <x:v>SF12</x:v>
      </x:c>
      <x:c r="B12" t="str">
        <x:v>S12</x:v>
      </x:c>
      <x:c r="C12" t="n">
        <x:v>1</x:v>
      </x:c>
      <x:c r="D12" t="str">
        <x:v>Policy, scenario &amp; socio-ecological impact assessment</x:v>
      </x:c>
      <x:c r="E12" t="str">
        <x:v>Soil / nutrient / environmental management</x:v>
      </x:c>
      <x:c r="F12" t="str">
        <x:v>No</x:v>
      </x:c>
      <x:c r="G12" t="str">
        <x:v>Yes</x:v>
      </x:c>
      <x:c r="H12" t="str">
        <x:v>Yes</x:v>
      </x:c>
      <x:c r="I12" t="str">
        <x:v>Yes</x:v>
      </x:c>
      <x:c r="J12" t="str">
        <x:v>Yes</x:v>
      </x:c>
      <x:c r="K12" t="str">
        <x:v>Yes</x:v>
      </x:c>
      <x:c r="L12" t="str">
        <x:v>No</x:v>
      </x:c>
      <x:c r="M12" t="str">
        <x:v>Yes</x:v>
      </x:c>
      <x:c r="N12" t="str">
        <x:v>No</x:v>
      </x:c>
      <x:c r="O12" t="str">
        <x:v>Yes</x:v>
      </x:c>
    </x:row>
    <x:row r="13">
      <x:c r="A13" t="str">
        <x:v>SF13</x:v>
      </x:c>
      <x:c r="B13" t="str">
        <x:v>S13; S22</x:v>
      </x:c>
      <x:c r="C13" t="n">
        <x:v>2</x:v>
      </x:c>
      <x:c r="D13" t="str">
        <x:v>Policy, scenario &amp; socio-ecological impact assessment</x:v>
      </x:c>
      <x:c r="E13" t="str">
        <x:v>Irrigation / water management</x:v>
      </x:c>
      <x:c r="F13" t="str">
        <x:v>Yes</x:v>
      </x:c>
      <x:c r="G13" t="str">
        <x:v>Yes</x:v>
      </x:c>
      <x:c r="H13" t="str">
        <x:v>Yes</x:v>
      </x:c>
      <x:c r="I13" t="str">
        <x:v>Yes</x:v>
      </x:c>
      <x:c r="J13" t="str">
        <x:v>Yes</x:v>
      </x:c>
      <x:c r="K13" t="str">
        <x:v>Yes</x:v>
      </x:c>
      <x:c r="L13" t="str">
        <x:v>No</x:v>
      </x:c>
      <x:c r="M13" t="str">
        <x:v>Yes</x:v>
      </x:c>
      <x:c r="N13" t="str">
        <x:v>No</x:v>
      </x:c>
      <x:c r="O13" t="str">
        <x:v>Yes</x:v>
      </x:c>
    </x:row>
    <x:row r="14">
      <x:c r="A14" t="str">
        <x:v>SF14</x:v>
      </x:c>
      <x:c r="B14" t="str">
        <x:v>S14</x:v>
      </x:c>
      <x:c r="C14" t="n">
        <x:v>1</x:v>
      </x:c>
      <x:c r="D14" t="str">
        <x:v>Trading, negotiation &amp; collective-resource governance</x:v>
      </x:c>
      <x:c r="E14" t="str">
        <x:v>Livestock / integrated farming</x:v>
      </x:c>
      <x:c r="F14" t="str">
        <x:v>No</x:v>
      </x:c>
      <x:c r="G14" t="str">
        <x:v>Yes</x:v>
      </x:c>
      <x:c r="H14" t="str">
        <x:v>Yes</x:v>
      </x:c>
      <x:c r="I14" t="str">
        <x:v>No</x:v>
      </x:c>
      <x:c r="J14" t="str">
        <x:v>Yes</x:v>
      </x:c>
      <x:c r="K14" t="str">
        <x:v>Yes</x:v>
      </x:c>
      <x:c r="L14" t="str">
        <x:v>No</x:v>
      </x:c>
      <x:c r="M14" t="str">
        <x:v>No</x:v>
      </x:c>
      <x:c r="N14" t="str">
        <x:v>No</x:v>
      </x:c>
      <x:c r="O14" t="str">
        <x:v>Yes</x:v>
      </x:c>
    </x:row>
    <x:row r="15">
      <x:c r="A15" t="str">
        <x:v>SF15</x:v>
      </x:c>
      <x:c r="B15" t="str">
        <x:v>S15</x:v>
      </x:c>
      <x:c r="C15" t="n">
        <x:v>1</x:v>
      </x:c>
      <x:c r="D15" t="str">
        <x:v>Decision support, monitoring &amp; diagnosis</x:v>
      </x:c>
      <x:c r="E15" t="str">
        <x:v>Livestock / integrated farming</x:v>
      </x:c>
      <x:c r="F15" t="str">
        <x:v>No</x:v>
      </x:c>
      <x:c r="G15" t="str">
        <x:v>Yes</x:v>
      </x:c>
      <x:c r="H15" t="str">
        <x:v>No</x:v>
      </x:c>
      <x:c r="I15" t="str">
        <x:v>No</x:v>
      </x:c>
      <x:c r="J15" t="str">
        <x:v>No</x:v>
      </x:c>
      <x:c r="K15" t="str">
        <x:v>No</x:v>
      </x:c>
      <x:c r="L15" t="str">
        <x:v>No</x:v>
      </x:c>
      <x:c r="M15" t="str">
        <x:v>Yes</x:v>
      </x:c>
      <x:c r="N15" t="str">
        <x:v>No</x:v>
      </x:c>
      <x:c r="O15" t="str">
        <x:v>Yes</x:v>
      </x:c>
    </x:row>
    <x:row r="16">
      <x:c r="A16" t="str">
        <x:v>SF16</x:v>
      </x:c>
      <x:c r="B16" t="str">
        <x:v>S16; S20</x:v>
      </x:c>
      <x:c r="C16" t="n">
        <x:v>2</x:v>
      </x:c>
      <x:c r="D16" t="str">
        <x:v>Trading, negotiation &amp; collective-resource governance</x:v>
      </x:c>
      <x:c r="E16" t="str">
        <x:v>Irrigation / water management</x:v>
      </x:c>
      <x:c r="F16" t="str">
        <x:v>Yes</x:v>
      </x:c>
      <x:c r="G16" t="str">
        <x:v>No</x:v>
      </x:c>
      <x:c r="H16" t="str">
        <x:v>Yes</x:v>
      </x:c>
      <x:c r="I16" t="str">
        <x:v>Yes</x:v>
      </x:c>
      <x:c r="J16" t="str">
        <x:v>Yes</x:v>
      </x:c>
      <x:c r="K16" t="str">
        <x:v>Yes</x:v>
      </x:c>
      <x:c r="L16" t="str">
        <x:v>Yes</x:v>
      </x:c>
      <x:c r="M16" t="str">
        <x:v>Yes</x:v>
      </x:c>
      <x:c r="N16" t="str">
        <x:v>Yes</x:v>
      </x:c>
      <x:c r="O16" t="str">
        <x:v>No</x:v>
      </x:c>
    </x:row>
    <x:row r="17">
      <x:c r="A17" t="str">
        <x:v>SF17</x:v>
      </x:c>
      <x:c r="B17" t="str">
        <x:v>S17</x:v>
      </x:c>
      <x:c r="C17" t="n">
        <x:v>1</x:v>
      </x:c>
      <x:c r="D17" t="str">
        <x:v>Policy, scenario &amp; socio-ecological impact assessment</x:v>
      </x:c>
      <x:c r="E17" t="str">
        <x:v>Crop / farm management</x:v>
      </x:c>
      <x:c r="F17" t="str">
        <x:v>No</x:v>
      </x:c>
      <x:c r="G17" t="str">
        <x:v>Yes</x:v>
      </x:c>
      <x:c r="H17" t="str">
        <x:v>Yes</x:v>
      </x:c>
      <x:c r="I17" t="str">
        <x:v>Yes</x:v>
      </x:c>
      <x:c r="J17" t="str">
        <x:v>No</x:v>
      </x:c>
      <x:c r="K17" t="str">
        <x:v>Yes</x:v>
      </x:c>
      <x:c r="L17" t="str">
        <x:v>No</x:v>
      </x:c>
      <x:c r="M17" t="str">
        <x:v>Yes</x:v>
      </x:c>
      <x:c r="N17" t="str">
        <x:v>No</x:v>
      </x:c>
      <x:c r="O17" t="str">
        <x:v>No</x:v>
      </x:c>
    </x:row>
    <x:row r="18">
      <x:c r="A18" t="str">
        <x:v>SF18</x:v>
      </x:c>
      <x:c r="B18" t="str">
        <x:v>S18</x:v>
      </x:c>
      <x:c r="C18" t="n">
        <x:v>1</x:v>
      </x:c>
      <x:c r="D18" t="str">
        <x:v>Operational resource allocation, scheduling &amp; control</x:v>
      </x:c>
      <x:c r="E18" t="str">
        <x:v>Crop / farm management</x:v>
      </x:c>
      <x:c r="F18" t="str">
        <x:v>No</x:v>
      </x:c>
      <x:c r="G18" t="str">
        <x:v>No</x:v>
      </x:c>
      <x:c r="H18" t="str">
        <x:v>Yes</x:v>
      </x:c>
      <x:c r="I18" t="str">
        <x:v>Yes</x:v>
      </x:c>
      <x:c r="J18" t="str">
        <x:v>Yes</x:v>
      </x:c>
      <x:c r="K18" t="str">
        <x:v>No</x:v>
      </x:c>
      <x:c r="L18" t="str">
        <x:v>Yes</x:v>
      </x:c>
      <x:c r="M18" t="str">
        <x:v>No</x:v>
      </x:c>
      <x:c r="N18" t="str">
        <x:v>No</x:v>
      </x:c>
      <x:c r="O18" t="str">
        <x:v>Yes</x:v>
      </x:c>
    </x:row>
    <x:row r="19">
      <x:c r="A19" t="str">
        <x:v>SF19</x:v>
      </x:c>
      <x:c r="B19" t="str">
        <x:v>S19</x:v>
      </x:c>
      <x:c r="C19" t="n">
        <x:v>1</x:v>
      </x:c>
      <x:c r="D19" t="str">
        <x:v>Operational resource allocation, scheduling &amp; control</x:v>
      </x:c>
      <x:c r="E19" t="str">
        <x:v>Workforce / robotics / task allocation</x:v>
      </x:c>
      <x:c r="F19" t="str">
        <x:v>No</x:v>
      </x:c>
      <x:c r="G19" t="str">
        <x:v>No</x:v>
      </x:c>
      <x:c r="H19" t="str">
        <x:v>No</x:v>
      </x:c>
      <x:c r="I19" t="str">
        <x:v>No</x:v>
      </x:c>
      <x:c r="J19" t="str">
        <x:v>Yes</x:v>
      </x:c>
      <x:c r="K19" t="str">
        <x:v>No</x:v>
      </x:c>
      <x:c r="L19" t="str">
        <x:v>Yes</x:v>
      </x:c>
      <x:c r="M19" t="str">
        <x:v>No</x:v>
      </x:c>
      <x:c r="N19" t="str">
        <x:v>Yes</x:v>
      </x:c>
      <x:c r="O19" t="str">
        <x:v>No</x:v>
      </x:c>
    </x:row>
    <x:row r="20">
      <x:c r="A20" t="str">
        <x:v>SF21</x:v>
      </x:c>
      <x:c r="B20" t="str">
        <x:v>S21</x:v>
      </x:c>
      <x:c r="C20" t="n">
        <x:v>1</x:v>
      </x:c>
      <x:c r="D20" t="str">
        <x:v>Operational resource allocation, scheduling &amp; control</x:v>
      </x:c>
      <x:c r="E20" t="str">
        <x:v>Irrigation / water management</x:v>
      </x:c>
      <x:c r="F20" t="str">
        <x:v>Yes</x:v>
      </x:c>
      <x:c r="G20" t="str">
        <x:v>No</x:v>
      </x:c>
      <x:c r="H20" t="str">
        <x:v>Yes</x:v>
      </x:c>
      <x:c r="I20" t="str">
        <x:v>Yes</x:v>
      </x:c>
      <x:c r="J20" t="str">
        <x:v>Yes</x:v>
      </x:c>
      <x:c r="K20" t="str">
        <x:v>No</x:v>
      </x:c>
      <x:c r="L20" t="str">
        <x:v>Yes</x:v>
      </x:c>
      <x:c r="M20" t="str">
        <x:v>Yes</x:v>
      </x:c>
      <x:c r="N20" t="str">
        <x:v>No</x:v>
      </x:c>
      <x:c r="O20" t="str">
        <x:v>Yes</x:v>
      </x:c>
    </x:row>
    <x:row r="21">
      <x:c r="A21" t="str">
        <x:v>SF24</x:v>
      </x:c>
      <x:c r="B21" t="str">
        <x:v>S24</x:v>
      </x:c>
      <x:c r="C21" t="n">
        <x:v>1</x:v>
      </x:c>
      <x:c r="D21" t="str">
        <x:v>Operational resource allocation, scheduling &amp; control</x:v>
      </x:c>
      <x:c r="E21" t="str">
        <x:v>Irrigation / water management</x:v>
      </x:c>
      <x:c r="F21" t="str">
        <x:v>Yes</x:v>
      </x:c>
      <x:c r="G21" t="str">
        <x:v>No</x:v>
      </x:c>
      <x:c r="H21" t="str">
        <x:v>Yes</x:v>
      </x:c>
      <x:c r="I21" t="str">
        <x:v>Yes</x:v>
      </x:c>
      <x:c r="J21" t="str">
        <x:v>Yes</x:v>
      </x:c>
      <x:c r="K21" t="str">
        <x:v>No</x:v>
      </x:c>
      <x:c r="L21" t="str">
        <x:v>Yes</x:v>
      </x:c>
      <x:c r="M21" t="str">
        <x:v>Yes</x:v>
      </x:c>
      <x:c r="N21" t="str">
        <x:v>No</x:v>
      </x:c>
      <x:c r="O21" t="str">
        <x:v>Yes</x:v>
      </x:c>
    </x:row>
    <x:row r="22">
      <x:c r="A22" t="str">
        <x:v>SF25</x:v>
      </x:c>
      <x:c r="B22" t="str">
        <x:v>S25; S33; S34</x:v>
      </x:c>
      <x:c r="C22" t="n">
        <x:v>3</x:v>
      </x:c>
      <x:c r="D22" t="str">
        <x:v>Operational resource allocation, scheduling &amp; control</x:v>
      </x:c>
      <x:c r="E22" t="str">
        <x:v>Workforce / robotics / task allocation</x:v>
      </x:c>
      <x:c r="F22" t="str">
        <x:v>No</x:v>
      </x:c>
      <x:c r="G22" t="str">
        <x:v>No</x:v>
      </x:c>
      <x:c r="H22" t="str">
        <x:v>Yes</x:v>
      </x:c>
      <x:c r="I22" t="str">
        <x:v>No</x:v>
      </x:c>
      <x:c r="J22" t="str">
        <x:v>Yes</x:v>
      </x:c>
      <x:c r="K22" t="str">
        <x:v>Yes</x:v>
      </x:c>
      <x:c r="L22" t="str">
        <x:v>Yes</x:v>
      </x:c>
      <x:c r="M22" t="str">
        <x:v>Yes</x:v>
      </x:c>
      <x:c r="N22" t="str">
        <x:v>Yes</x:v>
      </x:c>
      <x:c r="O22" t="str">
        <x:v>No</x:v>
      </x:c>
    </x:row>
    <x:row r="23">
      <x:c r="A23" t="str">
        <x:v>SF26</x:v>
      </x:c>
      <x:c r="B23" t="str">
        <x:v>S26</x:v>
      </x:c>
      <x:c r="C23" t="n">
        <x:v>1</x:v>
      </x:c>
      <x:c r="D23" t="str">
        <x:v>Policy, scenario &amp; socio-ecological impact assessment</x:v>
      </x:c>
      <x:c r="E23" t="str">
        <x:v>Irrigation / water management</x:v>
      </x:c>
      <x:c r="F23" t="str">
        <x:v>Yes</x:v>
      </x:c>
      <x:c r="G23" t="str">
        <x:v>Yes</x:v>
      </x:c>
      <x:c r="H23" t="str">
        <x:v>Yes</x:v>
      </x:c>
      <x:c r="I23" t="str">
        <x:v>Yes</x:v>
      </x:c>
      <x:c r="J23" t="str">
        <x:v>Yes</x:v>
      </x:c>
      <x:c r="K23" t="str">
        <x:v>Yes</x:v>
      </x:c>
      <x:c r="L23" t="str">
        <x:v>Yes</x:v>
      </x:c>
      <x:c r="M23" t="str">
        <x:v>No</x:v>
      </x:c>
      <x:c r="N23" t="str">
        <x:v>No</x:v>
      </x:c>
      <x:c r="O23" t="str">
        <x:v>Yes</x:v>
      </x:c>
    </x:row>
    <x:row r="24">
      <x:c r="A24" t="str">
        <x:v>SF27</x:v>
      </x:c>
      <x:c r="B24" t="str">
        <x:v>S27</x:v>
      </x:c>
      <x:c r="C24" t="n">
        <x:v>1</x:v>
      </x:c>
      <x:c r="D24" t="str">
        <x:v>Policy, scenario &amp; socio-ecological impact assessment</x:v>
      </x:c>
      <x:c r="E24" t="str">
        <x:v>Irrigation / water management</x:v>
      </x:c>
      <x:c r="F24" t="str">
        <x:v>Yes</x:v>
      </x:c>
      <x:c r="G24" t="str">
        <x:v>Yes</x:v>
      </x:c>
      <x:c r="H24" t="str">
        <x:v>Yes</x:v>
      </x:c>
      <x:c r="I24" t="str">
        <x:v>Yes</x:v>
      </x:c>
      <x:c r="J24" t="str">
        <x:v>Yes</x:v>
      </x:c>
      <x:c r="K24" t="str">
        <x:v>Yes</x:v>
      </x:c>
      <x:c r="L24" t="str">
        <x:v>No</x:v>
      </x:c>
      <x:c r="M24" t="str">
        <x:v>Yes</x:v>
      </x:c>
      <x:c r="N24" t="str">
        <x:v>No</x:v>
      </x:c>
      <x:c r="O24" t="str">
        <x:v>Yes</x:v>
      </x:c>
    </x:row>
    <x:row r="25">
      <x:c r="A25" t="str">
        <x:v>SF28</x:v>
      </x:c>
      <x:c r="B25" t="str">
        <x:v>S28</x:v>
      </x:c>
      <x:c r="C25" t="n">
        <x:v>1</x:v>
      </x:c>
      <x:c r="D25" t="str">
        <x:v>Operational resource allocation, scheduling &amp; control</x:v>
      </x:c>
      <x:c r="E25" t="str">
        <x:v>Soil / nutrient / environmental management</x:v>
      </x:c>
      <x:c r="F25" t="str">
        <x:v>No</x:v>
      </x:c>
      <x:c r="G25" t="str">
        <x:v>Yes</x:v>
      </x:c>
      <x:c r="H25" t="str">
        <x:v>Yes</x:v>
      </x:c>
      <x:c r="I25" t="str">
        <x:v>Yes</x:v>
      </x:c>
      <x:c r="J25" t="str">
        <x:v>Yes</x:v>
      </x:c>
      <x:c r="K25" t="str">
        <x:v>Yes</x:v>
      </x:c>
      <x:c r="L25" t="str">
        <x:v>Yes</x:v>
      </x:c>
      <x:c r="M25" t="str">
        <x:v>Yes</x:v>
      </x:c>
      <x:c r="N25" t="str">
        <x:v>No</x:v>
      </x:c>
      <x:c r="O25" t="str">
        <x:v>No</x:v>
      </x:c>
    </x:row>
    <x:row r="26">
      <x:c r="A26" t="str">
        <x:v>SF30</x:v>
      </x:c>
      <x:c r="B26" t="str">
        <x:v>S30</x:v>
      </x:c>
      <x:c r="C26" t="n">
        <x:v>1</x:v>
      </x:c>
      <x:c r="D26" t="str">
        <x:v>Operational resource allocation, scheduling &amp; control</x:v>
      </x:c>
      <x:c r="E26" t="str">
        <x:v>Irrigation / water management</x:v>
      </x:c>
      <x:c r="F26" t="str">
        <x:v>Yes</x:v>
      </x:c>
      <x:c r="G26" t="str">
        <x:v>No</x:v>
      </x:c>
      <x:c r="H26" t="str">
        <x:v>Yes</x:v>
      </x:c>
      <x:c r="I26" t="str">
        <x:v>No</x:v>
      </x:c>
      <x:c r="J26" t="str">
        <x:v>Yes</x:v>
      </x:c>
      <x:c r="K26" t="str">
        <x:v>No</x:v>
      </x:c>
      <x:c r="L26" t="str">
        <x:v>Yes</x:v>
      </x:c>
      <x:c r="M26" t="str">
        <x:v>No</x:v>
      </x:c>
      <x:c r="N26" t="str">
        <x:v>Yes</x:v>
      </x:c>
      <x:c r="O26" t="str">
        <x:v>No</x:v>
      </x:c>
    </x:row>
    <x:row r="27">
      <x:c r="A27" t="str">
        <x:v>SF31</x:v>
      </x:c>
      <x:c r="B27" t="str">
        <x:v>S31</x:v>
      </x:c>
      <x:c r="C27" t="n">
        <x:v>1</x:v>
      </x:c>
      <x:c r="D27" t="str">
        <x:v>Operational resource allocation, scheduling &amp; control</x:v>
      </x:c>
      <x:c r="E27" t="str">
        <x:v>Workforce / robotics / task allocation</x:v>
      </x:c>
      <x:c r="F27" t="str">
        <x:v>No</x:v>
      </x:c>
      <x:c r="G27" t="str">
        <x:v>No</x:v>
      </x:c>
      <x:c r="H27" t="str">
        <x:v>Yes</x:v>
      </x:c>
      <x:c r="I27" t="str">
        <x:v>No</x:v>
      </x:c>
      <x:c r="J27" t="str">
        <x:v>Yes</x:v>
      </x:c>
      <x:c r="K27" t="str">
        <x:v>No</x:v>
      </x:c>
      <x:c r="L27" t="str">
        <x:v>Yes</x:v>
      </x:c>
      <x:c r="M27" t="str">
        <x:v>No</x:v>
      </x:c>
      <x:c r="N27" t="str">
        <x:v>Yes</x:v>
      </x:c>
      <x:c r="O27" t="str">
        <x:v>No</x:v>
      </x:c>
    </x:row>
    <x:row r="28">
      <x:c r="A28" t="str">
        <x:v>SF32</x:v>
      </x:c>
      <x:c r="B28" t="str">
        <x:v>S32</x:v>
      </x:c>
      <x:c r="C28" t="n">
        <x:v>1</x:v>
      </x:c>
      <x:c r="D28" t="str">
        <x:v>Trading, negotiation &amp; collective-resource governance</x:v>
      </x:c>
      <x:c r="E28" t="str">
        <x:v>Irrigation / water management</x:v>
      </x:c>
      <x:c r="F28" t="str">
        <x:v>Yes</x:v>
      </x:c>
      <x:c r="G28" t="str">
        <x:v>No</x:v>
      </x:c>
      <x:c r="H28" t="str">
        <x:v>Yes</x:v>
      </x:c>
      <x:c r="I28" t="str">
        <x:v>Yes</x:v>
      </x:c>
      <x:c r="J28" t="str">
        <x:v>Yes</x:v>
      </x:c>
      <x:c r="K28" t="str">
        <x:v>Yes</x:v>
      </x:c>
      <x:c r="L28" t="str">
        <x:v>Yes</x:v>
      </x:c>
      <x:c r="M28" t="str">
        <x:v>Yes</x:v>
      </x:c>
      <x:c r="N28" t="str">
        <x:v>Yes</x:v>
      </x:c>
      <x:c r="O28" t="str">
        <x:v>No</x:v>
      </x:c>
    </x:row>
    <x:row r="29">
      <x:c r="A29" t="str">
        <x:v>SF35</x:v>
      </x:c>
      <x:c r="B29" t="str">
        <x:v>S35</x:v>
      </x:c>
      <x:c r="C29" t="n">
        <x:v>1</x:v>
      </x:c>
      <x:c r="D29" t="str">
        <x:v>Policy, scenario &amp; socio-ecological impact assessment</x:v>
      </x:c>
      <x:c r="E29" t="str">
        <x:v>Crop / farm management</x:v>
      </x:c>
      <x:c r="F29" t="str">
        <x:v>No</x:v>
      </x:c>
      <x:c r="G29" t="str">
        <x:v>Yes</x:v>
      </x:c>
      <x:c r="H29" t="str">
        <x:v>Yes</x:v>
      </x:c>
      <x:c r="I29" t="str">
        <x:v>Yes</x:v>
      </x:c>
      <x:c r="J29" t="str">
        <x:v>Yes</x:v>
      </x:c>
      <x:c r="K29" t="str">
        <x:v>Yes</x:v>
      </x:c>
      <x:c r="L29" t="str">
        <x:v>No</x:v>
      </x:c>
      <x:c r="M29" t="str">
        <x:v>Yes</x:v>
      </x:c>
      <x:c r="N29" t="str">
        <x:v>No</x:v>
      </x:c>
      <x:c r="O29" t="str">
        <x:v>Yes</x:v>
      </x:c>
    </x:row>
    <x:row r="30">
      <x:c r="A30" t="str">
        <x:v>SF36</x:v>
      </x:c>
      <x:c r="B30" t="str">
        <x:v>S36</x:v>
      </x:c>
      <x:c r="C30" t="n">
        <x:v>1</x:v>
      </x:c>
      <x:c r="D30" t="str">
        <x:v>Policy, scenario &amp; socio-ecological impact assessment</x:v>
      </x:c>
      <x:c r="E30" t="str">
        <x:v>Crop / farm management</x:v>
      </x:c>
      <x:c r="F30" t="str">
        <x:v>No</x:v>
      </x:c>
      <x:c r="G30" t="str">
        <x:v>Yes</x:v>
      </x:c>
      <x:c r="H30" t="str">
        <x:v>Yes</x:v>
      </x:c>
      <x:c r="I30" t="str">
        <x:v>Yes</x:v>
      </x:c>
      <x:c r="J30" t="str">
        <x:v>Yes</x:v>
      </x:c>
      <x:c r="K30" t="str">
        <x:v>Yes</x:v>
      </x:c>
      <x:c r="L30" t="str">
        <x:v>No</x:v>
      </x:c>
      <x:c r="M30" t="str">
        <x:v>Yes</x:v>
      </x:c>
      <x:c r="N30" t="str">
        <x:v>No</x:v>
      </x:c>
      <x:c r="O30" t="str">
        <x:v>No</x:v>
      </x:c>
    </x:row>
    <x:row r="31">
      <x:c r="A31" t="str">
        <x:v>SF37</x:v>
      </x:c>
      <x:c r="B31" t="str">
        <x:v>S37</x:v>
      </x:c>
      <x:c r="C31" t="n">
        <x:v>1</x:v>
      </x:c>
      <x:c r="D31" t="str">
        <x:v>Policy, scenario &amp; socio-ecological impact assessment</x:v>
      </x:c>
      <x:c r="E31" t="str">
        <x:v>Soil / nutrient / environmental management</x:v>
      </x:c>
      <x:c r="F31" t="str">
        <x:v>No</x:v>
      </x:c>
      <x:c r="G31" t="str">
        <x:v>Yes</x:v>
      </x:c>
      <x:c r="H31" t="str">
        <x:v>Yes</x:v>
      </x:c>
      <x:c r="I31" t="str">
        <x:v>Yes</x:v>
      </x:c>
      <x:c r="J31" t="str">
        <x:v>Yes</x:v>
      </x:c>
      <x:c r="K31" t="str">
        <x:v>Yes</x:v>
      </x:c>
      <x:c r="L31" t="str">
        <x:v>No</x:v>
      </x:c>
      <x:c r="M31" t="str">
        <x:v>Yes</x:v>
      </x:c>
      <x:c r="N31" t="str">
        <x:v>No</x:v>
      </x:c>
      <x:c r="O31" t="str">
        <x:v>No</x:v>
      </x:c>
    </x:row>
    <x:row r="32">
      <x:c r="A32" t="str">
        <x:v>SF38</x:v>
      </x:c>
      <x:c r="B32" t="str">
        <x:v>S38</x:v>
      </x:c>
      <x:c r="C32" t="n">
        <x:v>1</x:v>
      </x:c>
      <x:c r="D32" t="str">
        <x:v>Trading, negotiation &amp; collective-resource governance</x:v>
      </x:c>
      <x:c r="E32" t="str">
        <x:v>Irrigation / water management</x:v>
      </x:c>
      <x:c r="F32" t="str">
        <x:v>Yes</x:v>
      </x:c>
      <x:c r="G32" t="str">
        <x:v>No</x:v>
      </x:c>
      <x:c r="H32" t="str">
        <x:v>Yes</x:v>
      </x:c>
      <x:c r="I32" t="str">
        <x:v>Yes</x:v>
      </x:c>
      <x:c r="J32" t="str">
        <x:v>Yes</x:v>
      </x:c>
      <x:c r="K32" t="str">
        <x:v>Yes</x:v>
      </x:c>
      <x:c r="L32" t="str">
        <x:v>No</x:v>
      </x:c>
      <x:c r="M32" t="str">
        <x:v>Yes</x:v>
      </x:c>
      <x:c r="N32" t="str">
        <x:v>Yes</x:v>
      </x:c>
      <x:c r="O32" t="str">
        <x:v>No</x:v>
      </x:c>
    </x:row>
    <x:row r="33">
      <x:c r="A33" t="str">
        <x:v>SF39</x:v>
      </x:c>
      <x:c r="B33" t="str">
        <x:v>S39</x:v>
      </x:c>
      <x:c r="C33" t="n">
        <x:v>1</x:v>
      </x:c>
      <x:c r="D33" t="str">
        <x:v>Trading, negotiation &amp; collective-resource governance</x:v>
      </x:c>
      <x:c r="E33" t="str">
        <x:v>Irrigation / water management</x:v>
      </x:c>
      <x:c r="F33" t="str">
        <x:v>Yes</x:v>
      </x:c>
      <x:c r="G33" t="str">
        <x:v>Yes</x:v>
      </x:c>
      <x:c r="H33" t="str">
        <x:v>Yes</x:v>
      </x:c>
      <x:c r="I33" t="str">
        <x:v>Yes</x:v>
      </x:c>
      <x:c r="J33" t="str">
        <x:v>Yes</x:v>
      </x:c>
      <x:c r="K33" t="str">
        <x:v>Yes</x:v>
      </x:c>
      <x:c r="L33" t="str">
        <x:v>No</x:v>
      </x:c>
      <x:c r="M33" t="str">
        <x:v>Yes</x:v>
      </x:c>
      <x:c r="N33" t="str">
        <x:v>No</x:v>
      </x:c>
      <x:c r="O33" t="str">
        <x:v>No</x:v>
      </x:c>
    </x:row>
    <x:row r="34">
      <x:c r="A34" t="str">
        <x:v>SF40</x:v>
      </x:c>
      <x:c r="B34" t="str">
        <x:v>S40</x:v>
      </x:c>
      <x:c r="C34" t="n">
        <x:v>1</x:v>
      </x:c>
      <x:c r="D34" t="str">
        <x:v>Policy, scenario &amp; socio-ecological impact assessment</x:v>
      </x:c>
      <x:c r="E34" t="str">
        <x:v>Crop / farm management</x:v>
      </x:c>
      <x:c r="F34" t="str">
        <x:v>No</x:v>
      </x:c>
      <x:c r="G34" t="str">
        <x:v>Yes</x:v>
      </x:c>
      <x:c r="H34" t="str">
        <x:v>Yes</x:v>
      </x:c>
      <x:c r="I34" t="str">
        <x:v>Yes</x:v>
      </x:c>
      <x:c r="J34" t="str">
        <x:v>Yes</x:v>
      </x:c>
      <x:c r="K34" t="str">
        <x:v>Yes</x:v>
      </x:c>
      <x:c r="L34" t="str">
        <x:v>No</x:v>
      </x:c>
      <x:c r="M34" t="str">
        <x:v>Yes</x:v>
      </x:c>
      <x:c r="N34" t="str">
        <x:v>No</x:v>
      </x:c>
      <x:c r="O34" t="str">
        <x:v>No</x:v>
      </x:c>
    </x:row>
    <x:row r="35">
      <x:c r="A35" t="str">
        <x:v>SF41</x:v>
      </x:c>
      <x:c r="B35" t="str">
        <x:v>S41</x:v>
      </x:c>
      <x:c r="C35" t="n">
        <x:v>1</x:v>
      </x:c>
      <x:c r="D35" t="str">
        <x:v>Operational resource allocation, scheduling &amp; control</x:v>
      </x:c>
      <x:c r="E35" t="str">
        <x:v>Irrigation / water management</x:v>
      </x:c>
      <x:c r="F35" t="str">
        <x:v>Yes</x:v>
      </x:c>
      <x:c r="G35" t="str">
        <x:v>Yes</x:v>
      </x:c>
      <x:c r="H35" t="str">
        <x:v>Yes</x:v>
      </x:c>
      <x:c r="I35" t="str">
        <x:v>Yes</x:v>
      </x:c>
      <x:c r="J35" t="str">
        <x:v>Yes</x:v>
      </x:c>
      <x:c r="K35" t="str">
        <x:v>Yes</x:v>
      </x:c>
      <x:c r="L35" t="str">
        <x:v>Yes</x:v>
      </x:c>
      <x:c r="M35" t="str">
        <x:v>Yes</x:v>
      </x:c>
      <x:c r="N35" t="str">
        <x:v>Yes</x:v>
      </x:c>
      <x:c r="O35" t="str">
        <x:v>No</x:v>
      </x:c>
    </x:row>
    <x:row r="36">
      <x:c r="A36" t="str">
        <x:v>SF42</x:v>
      </x:c>
      <x:c r="B36" t="str">
        <x:v>S42; S52</x:v>
      </x:c>
      <x:c r="C36" t="n">
        <x:v>2</x:v>
      </x:c>
      <x:c r="D36" t="str">
        <x:v>Policy, scenario &amp; socio-ecological impact assessment</x:v>
      </x:c>
      <x:c r="E36" t="str">
        <x:v>Energy / WEF nexus; Irrigation / water management</x:v>
      </x:c>
      <x:c r="F36" t="str">
        <x:v>Yes</x:v>
      </x:c>
      <x:c r="G36" t="str">
        <x:v>Yes</x:v>
      </x:c>
      <x:c r="H36" t="str">
        <x:v>Yes</x:v>
      </x:c>
      <x:c r="I36" t="str">
        <x:v>Yes</x:v>
      </x:c>
      <x:c r="J36" t="str">
        <x:v>Yes</x:v>
      </x:c>
      <x:c r="K36" t="str">
        <x:v>Yes</x:v>
      </x:c>
      <x:c r="L36" t="str">
        <x:v>Yes</x:v>
      </x:c>
      <x:c r="M36" t="str">
        <x:v>Yes</x:v>
      </x:c>
      <x:c r="N36" t="str">
        <x:v>No</x:v>
      </x:c>
      <x:c r="O36" t="str">
        <x:v>Yes</x:v>
      </x:c>
    </x:row>
    <x:row r="37">
      <x:c r="A37" t="str">
        <x:v>SF43</x:v>
      </x:c>
      <x:c r="B37" t="str">
        <x:v>S43</x:v>
      </x:c>
      <x:c r="C37" t="n">
        <x:v>1</x:v>
      </x:c>
      <x:c r="D37" t="str">
        <x:v>Policy, scenario &amp; socio-ecological impact assessment</x:v>
      </x:c>
      <x:c r="E37" t="str">
        <x:v>Crop / farm management</x:v>
      </x:c>
      <x:c r="F37" t="str">
        <x:v>No</x:v>
      </x:c>
      <x:c r="G37" t="str">
        <x:v>Yes</x:v>
      </x:c>
      <x:c r="H37" t="str">
        <x:v>Yes</x:v>
      </x:c>
      <x:c r="I37" t="str">
        <x:v>Yes</x:v>
      </x:c>
      <x:c r="J37" t="str">
        <x:v>Yes</x:v>
      </x:c>
      <x:c r="K37" t="str">
        <x:v>Yes</x:v>
      </x:c>
      <x:c r="L37" t="str">
        <x:v>No</x:v>
      </x:c>
      <x:c r="M37" t="str">
        <x:v>Yes</x:v>
      </x:c>
      <x:c r="N37" t="str">
        <x:v>No</x:v>
      </x:c>
      <x:c r="O37" t="str">
        <x:v>Yes</x:v>
      </x:c>
    </x:row>
    <x:row r="38">
      <x:c r="A38" t="str">
        <x:v>SF44</x:v>
      </x:c>
      <x:c r="B38" t="str">
        <x:v>S44</x:v>
      </x:c>
      <x:c r="C38" t="n">
        <x:v>1</x:v>
      </x:c>
      <x:c r="D38" t="str">
        <x:v>Trading, negotiation &amp; collective-resource governance</x:v>
      </x:c>
      <x:c r="E38" t="str">
        <x:v>Irrigation / water management</x:v>
      </x:c>
      <x:c r="F38" t="str">
        <x:v>Yes</x:v>
      </x:c>
      <x:c r="G38" t="str">
        <x:v>Yes</x:v>
      </x:c>
      <x:c r="H38" t="str">
        <x:v>Yes</x:v>
      </x:c>
      <x:c r="I38" t="str">
        <x:v>Yes</x:v>
      </x:c>
      <x:c r="J38" t="str">
        <x:v>Yes</x:v>
      </x:c>
      <x:c r="K38" t="str">
        <x:v>Yes</x:v>
      </x:c>
      <x:c r="L38" t="str">
        <x:v>No</x:v>
      </x:c>
      <x:c r="M38" t="str">
        <x:v>Yes</x:v>
      </x:c>
      <x:c r="N38" t="str">
        <x:v>Yes</x:v>
      </x:c>
      <x:c r="O38" t="str">
        <x:v>No</x:v>
      </x:c>
    </x:row>
    <x:row r="39">
      <x:c r="A39" t="str">
        <x:v>SF45</x:v>
      </x:c>
      <x:c r="B39" t="str">
        <x:v>S45</x:v>
      </x:c>
      <x:c r="C39" t="n">
        <x:v>1</x:v>
      </x:c>
      <x:c r="D39" t="str">
        <x:v>Trading, negotiation &amp; collective-resource governance</x:v>
      </x:c>
      <x:c r="E39" t="str">
        <x:v>Irrigation / water management</x:v>
      </x:c>
      <x:c r="F39" t="str">
        <x:v>Yes</x:v>
      </x:c>
      <x:c r="G39" t="str">
        <x:v>Yes</x:v>
      </x:c>
      <x:c r="H39" t="str">
        <x:v>Yes</x:v>
      </x:c>
      <x:c r="I39" t="str">
        <x:v>Yes</x:v>
      </x:c>
      <x:c r="J39" t="str">
        <x:v>Yes</x:v>
      </x:c>
      <x:c r="K39" t="str">
        <x:v>Yes</x:v>
      </x:c>
      <x:c r="L39" t="str">
        <x:v>No</x:v>
      </x:c>
      <x:c r="M39" t="str">
        <x:v>Yes</x:v>
      </x:c>
      <x:c r="N39" t="str">
        <x:v>Yes</x:v>
      </x:c>
      <x:c r="O39" t="str">
        <x:v>No</x:v>
      </x:c>
    </x:row>
    <x:row r="40">
      <x:c r="A40" t="str">
        <x:v>SF46</x:v>
      </x:c>
      <x:c r="B40" t="str">
        <x:v>S46</x:v>
      </x:c>
      <x:c r="C40" t="n">
        <x:v>1</x:v>
      </x:c>
      <x:c r="D40" t="str">
        <x:v>Trading, negotiation &amp; collective-resource governance</x:v>
      </x:c>
      <x:c r="E40" t="str">
        <x:v>Irrigation / water management</x:v>
      </x:c>
      <x:c r="F40" t="str">
        <x:v>Yes</x:v>
      </x:c>
      <x:c r="G40" t="str">
        <x:v>Yes</x:v>
      </x:c>
      <x:c r="H40" t="str">
        <x:v>Yes</x:v>
      </x:c>
      <x:c r="I40" t="str">
        <x:v>Yes</x:v>
      </x:c>
      <x:c r="J40" t="str">
        <x:v>Yes</x:v>
      </x:c>
      <x:c r="K40" t="str">
        <x:v>Yes</x:v>
      </x:c>
      <x:c r="L40" t="str">
        <x:v>No</x:v>
      </x:c>
      <x:c r="M40" t="str">
        <x:v>Yes</x:v>
      </x:c>
      <x:c r="N40" t="str">
        <x:v>Yes</x:v>
      </x:c>
      <x:c r="O40" t="str">
        <x:v>No</x:v>
      </x:c>
    </x:row>
    <x:row r="41">
      <x:c r="A41" t="str">
        <x:v>SF47</x:v>
      </x:c>
      <x:c r="B41" t="str">
        <x:v>S47</x:v>
      </x:c>
      <x:c r="C41" t="n">
        <x:v>1</x:v>
      </x:c>
      <x:c r="D41" t="str">
        <x:v>Policy, scenario &amp; socio-ecological impact assessment</x:v>
      </x:c>
      <x:c r="E41" t="str">
        <x:v>Soil / nutrient / environmental management</x:v>
      </x:c>
      <x:c r="F41" t="str">
        <x:v>No</x:v>
      </x:c>
      <x:c r="G41" t="str">
        <x:v>Yes</x:v>
      </x:c>
      <x:c r="H41" t="str">
        <x:v>Yes</x:v>
      </x:c>
      <x:c r="I41" t="str">
        <x:v>Yes</x:v>
      </x:c>
      <x:c r="J41" t="str">
        <x:v>Yes</x:v>
      </x:c>
      <x:c r="K41" t="str">
        <x:v>Yes</x:v>
      </x:c>
      <x:c r="L41" t="str">
        <x:v>No</x:v>
      </x:c>
      <x:c r="M41" t="str">
        <x:v>Yes</x:v>
      </x:c>
      <x:c r="N41" t="str">
        <x:v>No</x:v>
      </x:c>
      <x:c r="O41" t="str">
        <x:v>No</x:v>
      </x:c>
    </x:row>
    <x:row r="42">
      <x:c r="A42" t="str">
        <x:v>SF48</x:v>
      </x:c>
      <x:c r="B42" t="str">
        <x:v>S48</x:v>
      </x:c>
      <x:c r="C42" t="n">
        <x:v>1</x:v>
      </x:c>
      <x:c r="D42" t="str">
        <x:v>Operational resource allocation, scheduling &amp; control</x:v>
      </x:c>
      <x:c r="E42" t="str">
        <x:v>Irrigation / water management</x:v>
      </x:c>
      <x:c r="F42" t="str">
        <x:v>Yes</x:v>
      </x:c>
      <x:c r="G42" t="str">
        <x:v>Yes</x:v>
      </x:c>
      <x:c r="H42" t="str">
        <x:v>Yes</x:v>
      </x:c>
      <x:c r="I42" t="str">
        <x:v>Yes</x:v>
      </x:c>
      <x:c r="J42" t="str">
        <x:v>Yes</x:v>
      </x:c>
      <x:c r="K42" t="str">
        <x:v>Yes</x:v>
      </x:c>
      <x:c r="L42" t="str">
        <x:v>Yes</x:v>
      </x:c>
      <x:c r="M42" t="str">
        <x:v>Yes</x:v>
      </x:c>
      <x:c r="N42" t="str">
        <x:v>Yes</x:v>
      </x:c>
      <x:c r="O42" t="str">
        <x:v>No</x:v>
      </x:c>
    </x:row>
    <x:row r="43">
      <x:c r="A43" t="str">
        <x:v>SF49</x:v>
      </x:c>
      <x:c r="B43" t="str">
        <x:v>S49; S53</x:v>
      </x:c>
      <x:c r="C43" t="n">
        <x:v>2</x:v>
      </x:c>
      <x:c r="D43" t="str">
        <x:v>Operational resource allocation, scheduling &amp; control</x:v>
      </x:c>
      <x:c r="E43" t="str">
        <x:v>Irrigation / water management</x:v>
      </x:c>
      <x:c r="F43" t="str">
        <x:v>Yes</x:v>
      </x:c>
      <x:c r="G43" t="str">
        <x:v>No</x:v>
      </x:c>
      <x:c r="H43" t="str">
        <x:v>Yes</x:v>
      </x:c>
      <x:c r="I43" t="str">
        <x:v>Yes</x:v>
      </x:c>
      <x:c r="J43" t="str">
        <x:v>Yes</x:v>
      </x:c>
      <x:c r="K43" t="str">
        <x:v>Yes</x:v>
      </x:c>
      <x:c r="L43" t="str">
        <x:v>Yes</x:v>
      </x:c>
      <x:c r="M43" t="str">
        <x:v>No</x:v>
      </x:c>
      <x:c r="N43" t="str">
        <x:v>Yes</x:v>
      </x:c>
      <x:c r="O43" t="str">
        <x:v>No</x:v>
      </x:c>
    </x:row>
    <x:row r="44">
      <x:c r="A44" t="str">
        <x:v>SF50</x:v>
      </x:c>
      <x:c r="B44" t="str">
        <x:v>S50</x:v>
      </x:c>
      <x:c r="C44" t="n">
        <x:v>1</x:v>
      </x:c>
      <x:c r="D44" t="str">
        <x:v>Operational resource allocation, scheduling &amp; control</x:v>
      </x:c>
      <x:c r="E44" t="str">
        <x:v>Workforce / robotics / task allocation</x:v>
      </x:c>
      <x:c r="F44" t="str">
        <x:v>No</x:v>
      </x:c>
      <x:c r="G44" t="str">
        <x:v>No</x:v>
      </x:c>
      <x:c r="H44" t="str">
        <x:v>Yes</x:v>
      </x:c>
      <x:c r="I44" t="str">
        <x:v>No</x:v>
      </x:c>
      <x:c r="J44" t="str">
        <x:v>Yes</x:v>
      </x:c>
      <x:c r="K44" t="str">
        <x:v>Yes</x:v>
      </x:c>
      <x:c r="L44" t="str">
        <x:v>Yes</x:v>
      </x:c>
      <x:c r="M44" t="str">
        <x:v>No</x:v>
      </x:c>
      <x:c r="N44" t="str">
        <x:v>Yes</x:v>
      </x:c>
      <x:c r="O44" t="str">
        <x:v>No</x:v>
      </x:c>
    </x:row>
    <x:row r="45">
      <x:c r="A45" t="str">
        <x:v>SF51</x:v>
      </x:c>
      <x:c r="B45" t="str">
        <x:v>S51</x:v>
      </x:c>
      <x:c r="C45" t="n">
        <x:v>1</x:v>
      </x:c>
      <x:c r="D45" t="str">
        <x:v>Trading, negotiation &amp; collective-resource governance</x:v>
      </x:c>
      <x:c r="E45" t="str">
        <x:v>Livestock / integrated farming</x:v>
      </x:c>
      <x:c r="F45" t="str">
        <x:v>No</x:v>
      </x:c>
      <x:c r="G45" t="str">
        <x:v>No</x:v>
      </x:c>
      <x:c r="H45" t="str">
        <x:v>Yes</x:v>
      </x:c>
      <x:c r="I45" t="str">
        <x:v>Yes</x:v>
      </x:c>
      <x:c r="J45" t="str">
        <x:v>Yes</x:v>
      </x:c>
      <x:c r="K45" t="str">
        <x:v>Yes</x:v>
      </x:c>
      <x:c r="L45" t="str">
        <x:v>No</x:v>
      </x:c>
      <x:c r="M45" t="str">
        <x:v>Yes</x:v>
      </x:c>
      <x:c r="N45" t="str">
        <x:v>No</x:v>
      </x:c>
      <x:c r="O45" t="str">
        <x:v>No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42" hidden="0" customWidth="1"/>
    <x:col min="8" max="8" width="16" hidden="0" customWidth="1"/>
  </x:cols>
  <x:sheetData>
    <x:row r="1">
      <x:c r="A1" s="14" t="str">
        <x:v>Step 6B — RQ0: Overall MAS Application Landscape and Purpose</x:v>
      </x:c>
      <x:c r="B1" s="14"/>
      <x:c r="C1" s="14"/>
      <x:c r="D1" s="14"/>
      <x:c r="E1" s="14"/>
      <x:c r="F1" s="14"/>
      <x:c r="G1" s="14"/>
      <x:c r="H1" s="14"/>
    </x:row>
    <x:row r="2">
      <x:c r="A2" s="14"/>
      <x:c r="B2" s="14"/>
      <x:c r="C2" s="14"/>
      <x:c r="D2" s="14"/>
      <x:c r="E2" s="14"/>
      <x:c r="F2" s="14"/>
      <x:c r="G2" s="14"/>
      <x:c r="H2" s="14"/>
    </x:row>
    <x:row r="3">
      <x:c r="A3" s="20" t="str">
        <x:v>RQ0 synthesis uses n=53 publications for the main descriptive account and n=44 study families as an independence sensitivity check. The primary-purpose taxonomy is reviewer-defined from Study_Objective and MAS_Application_Purpose and assigns one dominant functional purpose per publication.</x:v>
      </x:c>
      <x:c r="B3" s="20"/>
      <x:c r="C3" s="20"/>
      <x:c r="D3" s="20"/>
      <x:c r="E3" s="20"/>
      <x:c r="F3" s="20"/>
      <x:c r="G3" s="20"/>
      <x:c r="H3" s="20"/>
    </x:row>
    <x:row r="4">
      <x:c r="A4" s="20"/>
      <x:c r="B4" s="20"/>
      <x:c r="C4" s="20"/>
      <x:c r="D4" s="20"/>
      <x:c r="E4" s="20"/>
      <x:c r="F4" s="20"/>
      <x:c r="G4" s="20"/>
      <x:c r="H4" s="20"/>
    </x:row>
    <x:row r="6">
      <x:c r="A6" s="6" t="str">
        <x:v>Primary functional purpose</x:v>
      </x:c>
      <x:c r="B6" s="6" t="str">
        <x:v>Old 34 count</x:v>
      </x:c>
      <x:c r="C6" s="6" t="str">
        <x:v>Old 34 %</x:v>
      </x:c>
      <x:c r="D6" s="6" t="str">
        <x:v>Final 53 count</x:v>
      </x:c>
      <x:c r="E6" s="6" t="str">
        <x:v>Final 53 %</x:v>
      </x:c>
      <x:c r="F6" s="6" t="str">
        <x:v>44-family count</x:v>
      </x:c>
      <x:c r="G6" s="6" t="str">
        <x:v>44-family %</x:v>
      </x:c>
      <x:c r="H6" s="6" t="str">
        <x:v>Δ share old→final</x:v>
      </x:c>
    </x:row>
    <x:row r="7">
      <x:c r="A7" t="str">
        <x:v>Operational resource allocation, scheduling &amp; control</x:v>
      </x:c>
      <x:c r="B7" t="n">
        <x:f>COUNTIFS(Study_Mapping!$C$2:$C$54,"Original 34",Study_Mapping!$G$2:$G$54,A7)</x:f>
        <x:v>16</x:v>
      </x:c>
      <x:c r="C7" s="24" t="n">
        <x:f>B7/34</x:f>
        <x:v>0.47058823529411764</x:v>
      </x:c>
      <x:c r="D7" t="n">
        <x:f>COUNTIF(Study_Mapping!$G$2:$G$54,A7)</x:f>
        <x:v>21</x:v>
      </x:c>
      <x:c r="E7" s="24" t="n">
        <x:f>D7/53</x:f>
        <x:v>0.39622641509433965</x:v>
      </x:c>
      <x:c r="F7" s="24" t="n">
        <x:f>COUNTIF(Family_Mapping!$D$2:$D$45,A7)</x:f>
        <x:v>17</x:v>
      </x:c>
      <x:c r="G7" s="24" t="n">
        <x:f>F7/44</x:f>
        <x:v>0.38636363636363635</x:v>
      </x:c>
      <x:c r="H7" s="24" t="n">
        <x:f>E7-C7</x:f>
        <x:v>-0.074361820199778</x:v>
      </x:c>
    </x:row>
    <x:row r="8">
      <x:c r="A8" t="str">
        <x:v>Policy, scenario &amp; socio-ecological impact assessment</x:v>
      </x:c>
      <x:c r="B8" t="n">
        <x:f>COUNTIFS(Study_Mapping!$C$2:$C$54,"Original 34",Study_Mapping!$G$2:$G$54,A8)</x:f>
        <x:v>9</x:v>
      </x:c>
      <x:c r="C8" s="24" t="n">
        <x:f>B8/34</x:f>
        <x:v>0.2647058823529412</x:v>
      </x:c>
      <x:c r="D8" t="n">
        <x:f>COUNTIF(Study_Mapping!$G$2:$G$54,A8)</x:f>
        <x:v>17</x:v>
      </x:c>
      <x:c r="E8" s="24" t="n">
        <x:f>D8/53</x:f>
        <x:v>0.32075471698113206</x:v>
      </x:c>
      <x:c r="F8" s="24" t="n">
        <x:f>COUNTIF(Family_Mapping!$D$2:$D$45,A8)</x:f>
        <x:v>15</x:v>
      </x:c>
      <x:c r="G8" s="24" t="n">
        <x:f>F8/44</x:f>
        <x:v>0.3409090909090909</x:v>
      </x:c>
      <x:c r="H8" s="24" t="n">
        <x:f>E8-C8</x:f>
        <x:v>0.05604883462819088</x:v>
      </x:c>
    </x:row>
    <x:row r="9">
      <x:c r="A9" t="str">
        <x:v>Trading, negotiation &amp; collective-resource governance</x:v>
      </x:c>
      <x:c r="B9" t="n">
        <x:f>COUNTIFS(Study_Mapping!$C$2:$C$54,"Original 34",Study_Mapping!$G$2:$G$54,A9)</x:f>
        <x:v>7</x:v>
      </x:c>
      <x:c r="C9" s="24" t="n">
        <x:f>B9/34</x:f>
        <x:v>0.20588235294117646</x:v>
      </x:c>
      <x:c r="D9" t="n">
        <x:f>COUNTIF(Study_Mapping!$G$2:$G$54,A9)</x:f>
        <x:v>13</x:v>
      </x:c>
      <x:c r="E9" s="24" t="n">
        <x:f>D9/53</x:f>
        <x:v>0.24528301886792453</x:v>
      </x:c>
      <x:c r="F9" s="24" t="n">
        <x:f>COUNTIF(Family_Mapping!$D$2:$D$45,A9)</x:f>
        <x:v>10</x:v>
      </x:c>
      <x:c r="G9" s="24" t="n">
        <x:f>F9/44</x:f>
        <x:v>0.22727272727272727</x:v>
      </x:c>
      <x:c r="H9" s="24" t="n">
        <x:f>E9-C9</x:f>
        <x:v>0.03940066592674807</x:v>
      </x:c>
    </x:row>
    <x:row r="10">
      <x:c r="A10" t="str">
        <x:v>Decision support, monitoring &amp; diagnosis</x:v>
      </x:c>
      <x:c r="B10" t="n">
        <x:f>COUNTIFS(Study_Mapping!$C$2:$C$54,"Original 34",Study_Mapping!$G$2:$G$54,A10)</x:f>
        <x:v>2</x:v>
      </x:c>
      <x:c r="C10" s="24" t="n">
        <x:f>B10/34</x:f>
        <x:v>0.058823529411764705</x:v>
      </x:c>
      <x:c r="D10" t="n">
        <x:f>COUNTIF(Study_Mapping!$G$2:$G$54,A10)</x:f>
        <x:v>2</x:v>
      </x:c>
      <x:c r="E10" s="24" t="n">
        <x:f>D10/53</x:f>
        <x:v>0.03773584905660377</x:v>
      </x:c>
      <x:c r="F10" s="24" t="n">
        <x:f>COUNTIF(Family_Mapping!$D$2:$D$45,A10)</x:f>
        <x:v>2</x:v>
      </x:c>
      <x:c r="G10" s="24" t="n">
        <x:f>F10/44</x:f>
        <x:v>0.045454545454545456</x:v>
      </x:c>
      <x:c r="H10" s="24" t="n">
        <x:f>E10-C10</x:f>
        <x:v>-0.021087680355160933</x:v>
      </x:c>
    </x:row>
    <x:row r="13">
      <x:c r="A13" s="6" t="str">
        <x:v>Landscape indicator</x:v>
      </x:c>
      <x:c r="B13" s="6" t="str">
        <x:v>Publication count</x:v>
      </x:c>
      <x:c r="C13" s="6" t="str">
        <x:v>Publication %</x:v>
      </x:c>
      <x:c r="D13" s="6" t="str">
        <x:v>Family count</x:v>
      </x:c>
      <x:c r="E13" s="6" t="str">
        <x:v>Family %</x:v>
      </x:c>
      <x:c r="F13" s="6" t="str">
        <x:v>Difference</x:v>
      </x:c>
      <x:c r="G13" s="6" t="str">
        <x:v>Interpretation</x:v>
      </x:c>
    </x:row>
    <x:row r="14">
      <x:c r="A14" t="str">
        <x:v>Irrigation / water management is primary domain</x:v>
      </x:c>
      <x:c r="B14" t="n">
        <x:v>24</x:v>
      </x:c>
      <x:c r="C14" s="24" t="n">
        <x:f>B14/53</x:f>
        <x:v>0.4528301886792453</x:v>
      </x:c>
      <x:c r="D14" s="24" t="n">
        <x:v>20</x:v>
      </x:c>
      <x:c r="E14" s="24" t="n">
        <x:f>D14/44</x:f>
        <x:v>0.45454545454545453</x:v>
      </x:c>
      <x:c r="F14" s="24" t="n">
        <x:f>E14-C14</x:f>
        <x:v>0.0017152658662092368</x:v>
      </x:c>
      <x:c r="G14" t="str">
        <x:v>Water remains the dominant application setting</x:v>
      </x:c>
    </x:row>
    <x:row r="15">
      <x:c r="A15" t="str">
        <x:v>Integrated-system scope</x:v>
      </x:c>
      <x:c r="B15" t="n">
        <x:v>27</x:v>
      </x:c>
      <x:c r="C15" s="24" t="n">
        <x:f>B15/53</x:f>
        <x:v>0.5094339622641509</x:v>
      </x:c>
      <x:c r="D15" s="24" t="n">
        <x:v>25</x:v>
      </x:c>
      <x:c r="E15" s="24" t="n">
        <x:f>D15/44</x:f>
        <x:v>0.5681818181818182</x:v>
      </x:c>
      <x:c r="F15" s="24" t="n">
        <x:f>E15-C15</x:f>
        <x:v>0.05874785591766729</x:v>
      </x:c>
      <x:c r="G15" t="str">
        <x:v>Half or more of the evidence integrates multiple system components</x:v>
      </x:c>
    </x:row>
    <x:row r="16">
      <x:c r="A16" t="str">
        <x:v>Simulation maturity</x:v>
      </x:c>
      <x:c r="B16" t="n">
        <x:v>46</x:v>
      </x:c>
      <x:c r="C16" s="24" t="n">
        <x:f>B16/53</x:f>
        <x:v>0.8679245283018868</x:v>
      </x:c>
      <x:c r="D16" s="24" t="n">
        <x:v>39</x:v>
      </x:c>
      <x:c r="E16" s="24" t="n">
        <x:f>D16/44</x:f>
        <x:v>0.8863636363636364</x:v>
      </x:c>
      <x:c r="F16" s="24" t="n">
        <x:f>E16-C16</x:f>
        <x:v>0.018439108061749532</x:v>
      </x:c>
      <x:c r="G16" t="str">
        <x:v>The field remains simulation-dominated</x:v>
      </x:c>
    </x:row>
    <x:row r="17">
      <x:c r="A17" t="str">
        <x:v>Direct sustainability focus</x:v>
      </x:c>
      <x:c r="B17" t="n">
        <x:v>39</x:v>
      </x:c>
      <x:c r="C17" s="24" t="n">
        <x:f>B17/53</x:f>
        <x:v>0.7358490566037735</x:v>
      </x:c>
      <x:c r="D17" s="24" t="n">
        <x:v>34</x:v>
      </x:c>
      <x:c r="E17" s="24" t="n">
        <x:f>D17/44</x:f>
        <x:v>0.7727272727272727</x:v>
      </x:c>
      <x:c r="F17" s="24" t="n">
        <x:f>E17-C17</x:f>
        <x:v>0.036878216123499175</x:v>
      </x:c>
      <x:c r="G17" t="str">
        <x:v>Sustainability is explicit in most of the evidence</x:v>
      </x:c>
    </x:row>
    <x:row r="18">
      <x:c r="A18" t="str">
        <x:v>Resource scarcity / constraint modelled</x:v>
      </x:c>
      <x:c r="B18" t="n">
        <x:v>50</x:v>
      </x:c>
      <x:c r="C18" s="24" t="n">
        <x:f>B18/53</x:f>
        <x:v>0.9433962264150944</x:v>
      </x:c>
      <x:c r="D18" s="24" t="n">
        <x:v>41</x:v>
      </x:c>
      <x:c r="E18" s="24" t="n">
        <x:f>D18/44</x:f>
        <x:v>0.9318181818181818</x:v>
      </x:c>
      <x:c r="F18" s="24" t="n">
        <x:f>E18-C18</x:f>
        <x:v>-0.011578044596912584</x:v>
      </x:c>
      <x:c r="G18" t="str">
        <x:v>Scarcity/constraint is a near-universal design context</x:v>
      </x:c>
    </x:row>
    <x:row r="21">
      <x:c r="A21" s="6" t="str">
        <x:v>Contribution class (multi-label)</x:v>
      </x:c>
      <x:c r="B21" s="6" t="str">
        <x:v>Publications</x:v>
      </x:c>
      <x:c r="C21" s="6" t="str">
        <x:v>Publication %</x:v>
      </x:c>
      <x:c r="D21" s="6" t="str">
        <x:v>Families</x:v>
      </x:c>
      <x:c r="E21" s="6" t="str">
        <x:v>Family %</x:v>
      </x:c>
      <x:c r="F21" s="6" t="str">
        <x:v>Interpretation</x:v>
      </x:c>
    </x:row>
    <x:row r="22">
      <x:c r="A22" t="str">
        <x:v>Simulation / model</x:v>
      </x:c>
      <x:c r="B22" t="n">
        <x:v>37</x:v>
      </x:c>
      <x:c r="C22" s="24" t="n">
        <x:f>B22/53</x:f>
        <x:v>0.6981132075471698</x:v>
      </x:c>
      <x:c r="D22" s="24" t="n">
        <x:v>31</x:v>
      </x:c>
      <x:c r="E22" s="24" t="n">
        <x:f>D22/44</x:f>
        <x:v>0.7045454545454546</x:v>
      </x:c>
      <x:c r="F22" t="str">
        <x:v>Core methodological form</x:v>
      </x:c>
    </x:row>
    <x:row r="23">
      <x:c r="A23" t="str">
        <x:v>Algorithm / optimisation / control</x:v>
      </x:c>
      <x:c r="B23" t="n">
        <x:v>27</x:v>
      </x:c>
      <x:c r="C23" s="24" t="n">
        <x:f>B23/53</x:f>
        <x:v>0.5094339622641509</x:v>
      </x:c>
      <x:c r="D23" s="24" t="n">
        <x:v>22</x:v>
      </x:c>
      <x:c r="E23" s="24" t="n">
        <x:f>D23/44</x:f>
        <x:v>0.5</x:v>
      </x:c>
      <x:c r="F23" t="str">
        <x:v>Strong operational/engineering strand</x:v>
      </x:c>
    </x:row>
    <x:row r="24">
      <x:c r="A24" t="str">
        <x:v>Decision support / assessment / policy analysis</x:v>
      </x:c>
      <x:c r="B24" t="n">
        <x:v>37</x:v>
      </x:c>
      <x:c r="C24" s="24" t="n">
        <x:f>B24/53</x:f>
        <x:v>0.6981132075471698</x:v>
      </x:c>
      <x:c r="D24" s="24" t="n">
        <x:v>32</x:v>
      </x:c>
      <x:c r="E24" s="24" t="n">
        <x:f>D24/44</x:f>
        <x:v>0.7272727272727273</x:v>
      </x:c>
      <x:c r="F24" t="str">
        <x:v>Broad decision/assessment orientation</x:v>
      </x:c>
    </x:row>
    <x:row r="25">
      <x:c r="A25" t="str">
        <x:v>Coordination / allocation / negotiation mechanism</x:v>
      </x:c>
      <x:c r="B25" t="n">
        <x:v>24</x:v>
      </x:c>
      <x:c r="C25" s="24" t="n">
        <x:f>B25/53</x:f>
        <x:v>0.4528301886792453</x:v>
      </x:c>
      <x:c r="D25" s="24" t="n">
        <x:v>18</x:v>
      </x:c>
      <x:c r="E25" s="24" t="n">
        <x:f>D25/44</x:f>
        <x:v>0.4090909090909091</x:v>
      </x:c>
      <x:c r="F25" t="str">
        <x:v>Explicit multi-agent coordination contribution</x:v>
      </x:c>
    </x:row>
    <x:row r="26">
      <x:c r="A26" t="str">
        <x:v>Platform / architecture</x:v>
      </x:c>
      <x:c r="B26" t="n">
        <x:v>22</x:v>
      </x:c>
      <x:c r="C26" s="24" t="n">
        <x:f>B26/53</x:f>
        <x:v>0.41509433962264153</x:v>
      </x:c>
      <x:c r="D26" s="24" t="n">
        <x:v>18</x:v>
      </x:c>
      <x:c r="E26" s="24" t="n">
        <x:f>D26/44</x:f>
        <x:v>0.4090909090909091</x:v>
      </x:c>
      <x:c r="F26" t="str">
        <x:v>Reusable MAS infrastructure/architectural contribution</x:v>
      </x:c>
    </x:row>
    <x:row r="29">
      <x:c r="A29" s="28" t="str">
        <x:v>RQ0 answer — concise synthesis</x:v>
      </x:c>
      <x:c r="B29" s="28"/>
      <x:c r="C29" s="28"/>
      <x:c r="D29" s="28"/>
      <x:c r="E29" s="28"/>
      <x:c r="F29" s="28"/>
      <x:c r="G29" s="28"/>
      <x:c r="H29" s="28"/>
    </x:row>
    <x:row r="30">
      <x:c r="A30" s="32" t="str">
        <x:v>• MAS in sustainable smart farming serve two broad roles: operational coordination/optimisation and exploratory socio-ecological/policy modelling.</x:v>
      </x:c>
      <x:c r="B30" s="32"/>
      <x:c r="C30" s="32"/>
      <x:c r="D30" s="32"/>
      <x:c r="E30" s="32"/>
      <x:c r="F30" s="32"/>
      <x:c r="G30" s="32"/>
      <x:c r="H30" s="32"/>
    </x:row>
    <x:row r="31">
      <x:c r="A31" s="32" t="str">
        <x:v>• Operational resource allocation, scheduling and control remains the largest single purpose (21/53 publications; 17/44 families), but citation chasing broadens the review toward policy/scenario assessment and collective-resource governance.</x:v>
      </x:c>
      <x:c r="B31" s="32"/>
      <x:c r="C31" s="32"/>
      <x:c r="D31" s="32"/>
      <x:c r="E31" s="32"/>
      <x:c r="F31" s="32"/>
      <x:c r="G31" s="32"/>
      <x:c r="H31" s="32"/>
    </x:row>
    <x:row r="32">
      <x:c r="A32" s="32" t="str">
        <x:v>• The application landscape is water-centric: irrigation/water management is the primary domain in 24/53 publications and appears in 20/44 independent study families.</x:v>
      </x:c>
      <x:c r="B32" s="32"/>
      <x:c r="C32" s="32"/>
      <x:c r="D32" s="32"/>
      <x:c r="E32" s="32"/>
      <x:c r="F32" s="32"/>
      <x:c r="G32" s="32"/>
      <x:c r="H32" s="32"/>
    </x:row>
    <x:row r="33">
      <x:c r="A33" s="32" t="str">
        <x:v>• The literature increasingly integrates agronomic, hydrological, economic, energy and social components, but it is still dominated by simulation rather than deployed farm systems.</x:v>
      </x:c>
      <x:c r="B33" s="32"/>
      <x:c r="C33" s="32"/>
      <x:c r="D33" s="32"/>
      <x:c r="E33" s="32"/>
      <x:c r="F33" s="32"/>
      <x:c r="G33" s="32"/>
      <x:c r="H33" s="32"/>
    </x:row>
    <x:row r="34">
      <x:c r="A34" s="32" t="str">
        <x:v>• Family-level sensitivity closely reproduces publication-level proportions, so the main RQ0 conclusions are not an artefact of related-publication duplication.</x:v>
      </x:c>
      <x:c r="B34" s="32"/>
      <x:c r="C34" s="32"/>
      <x:c r="D34" s="32"/>
      <x:c r="E34" s="32"/>
      <x:c r="F34" s="32"/>
      <x:c r="G34" s="32"/>
      <x:c r="H34" s="32"/>
    </x:row>
  </x:sheetData>
  <x:mergeCells>
    <x:mergeCell ref="A1:H2"/>
    <x:mergeCell ref="A3:H4"/>
    <x:mergeCell ref="A29:H29"/>
    <x:mergeCell ref="A30:H30"/>
    <x:mergeCell ref="A31:H31"/>
    <x:mergeCell ref="A32:H32"/>
    <x:mergeCell ref="A33:H33"/>
    <x:mergeCell ref="A34:H3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</x:cols>
  <x:sheetData>
    <x:row r="1">
      <x:c r="A1" s="14" t="str">
        <x:v>Evolution of Primary MAS Purpose over Time</x:v>
      </x:c>
      <x:c r="B1" s="14"/>
      <x:c r="C1" s="14"/>
      <x:c r="D1" s="14"/>
      <x:c r="E1" s="14"/>
      <x:c r="F1" s="14"/>
    </x:row>
    <x:row r="2">
      <x:c r="A2" s="14"/>
      <x:c r="B2" s="14"/>
      <x:c r="C2" s="14"/>
      <x:c r="D2" s="14"/>
      <x:c r="E2" s="14"/>
      <x:c r="F2" s="14"/>
    </x:row>
    <x:row r="4">
      <x:c r="A4" s="6" t="str">
        <x:v>Period</x:v>
      </x:c>
      <x:c r="B4" s="6" t="str">
        <x:v>Total publications</x:v>
      </x:c>
      <x:c r="C4" s="6" t="str">
        <x:v>Operational allocation/control</x:v>
      </x:c>
      <x:c r="D4" s="6" t="str">
        <x:v>Policy/scenario/socio-ecological</x:v>
      </x:c>
      <x:c r="E4" s="6" t="str">
        <x:v>Trading/negotiation/governance</x:v>
      </x:c>
      <x:c r="F4" s="6" t="str">
        <x:v>Decision support/monitoring</x:v>
      </x:c>
    </x:row>
    <x:row r="5">
      <x:c r="A5" t="str">
        <x:v>2001–2009 foundational</x:v>
      </x:c>
      <x:c r="B5" t="n">
        <x:f>COUNTIF(Study_Mapping!$E$2:$E$54,A5)</x:f>
        <x:v>5</x:v>
      </x:c>
      <x:c r="C5" t="n">
        <x:f>COUNTIFS(Study_Mapping!$E$2:$E$54,$A5,Study_Mapping!$G$2:$G$54,"Operational resource allocation, scheduling &amp; control")</x:f>
        <x:v>0</x:v>
      </x:c>
      <x:c r="D5" t="n">
        <x:f>COUNTIFS(Study_Mapping!$E$2:$E$54,$A5,Study_Mapping!$G$2:$G$54,"Policy, scenario &amp; socio-ecological impact assessment")</x:f>
        <x:v>2</x:v>
      </x:c>
      <x:c r="E5" t="n">
        <x:f>COUNTIFS(Study_Mapping!$E$2:$E$54,$A5,Study_Mapping!$G$2:$G$54,"Trading, negotiation &amp; collective-resource governance")</x:f>
        <x:v>3</x:v>
      </x:c>
      <x:c r="F5" t="n">
        <x:f>COUNTIFS(Study_Mapping!$E$2:$E$54,$A5,Study_Mapping!$G$2:$G$54,"Decision support, monitoring &amp; diagnosis")</x:f>
        <x:v>0</x:v>
      </x:c>
    </x:row>
    <x:row r="6">
      <x:c r="A6" t="str">
        <x:v>2010–2019</x:v>
      </x:c>
      <x:c r="B6" t="n">
        <x:f>COUNTIF(Study_Mapping!$E$2:$E$54,A6)</x:f>
        <x:v>20</x:v>
      </x:c>
      <x:c r="C6" t="n">
        <x:f>COUNTIFS(Study_Mapping!$E$2:$E$54,$A6,Study_Mapping!$G$2:$G$54,"Operational resource allocation, scheduling &amp; control")</x:f>
        <x:v>6</x:v>
      </x:c>
      <x:c r="D6" t="n">
        <x:f>COUNTIFS(Study_Mapping!$E$2:$E$54,$A6,Study_Mapping!$G$2:$G$54,"Policy, scenario &amp; socio-ecological impact assessment")</x:f>
        <x:v>10</x:v>
      </x:c>
      <x:c r="E6" t="n">
        <x:f>COUNTIFS(Study_Mapping!$E$2:$E$54,$A6,Study_Mapping!$G$2:$G$54,"Trading, negotiation &amp; collective-resource governance")</x:f>
        <x:v>3</x:v>
      </x:c>
      <x:c r="F6" t="n">
        <x:f>COUNTIFS(Study_Mapping!$E$2:$E$54,$A6,Study_Mapping!$G$2:$G$54,"Decision support, monitoring &amp; diagnosis")</x:f>
        <x:v>1</x:v>
      </x:c>
    </x:row>
    <x:row r="7">
      <x:c r="A7" t="str">
        <x:v>2020–2026</x:v>
      </x:c>
      <x:c r="B7" t="n">
        <x:f>COUNTIF(Study_Mapping!$E$2:$E$54,A7)</x:f>
        <x:v>28</x:v>
      </x:c>
      <x:c r="C7" t="n">
        <x:f>COUNTIFS(Study_Mapping!$E$2:$E$54,$A7,Study_Mapping!$G$2:$G$54,"Operational resource allocation, scheduling &amp; control")</x:f>
        <x:v>15</x:v>
      </x:c>
      <x:c r="D7" t="n">
        <x:f>COUNTIFS(Study_Mapping!$E$2:$E$54,$A7,Study_Mapping!$G$2:$G$54,"Policy, scenario &amp; socio-ecological impact assessment")</x:f>
        <x:v>5</x:v>
      </x:c>
      <x:c r="E7" t="n">
        <x:f>COUNTIFS(Study_Mapping!$E$2:$E$54,$A7,Study_Mapping!$G$2:$G$54,"Trading, negotiation &amp; collective-resource governance")</x:f>
        <x:v>7</x:v>
      </x:c>
      <x:c r="F7" t="n">
        <x:f>COUNTIFS(Study_Mapping!$E$2:$E$54,$A7,Study_Mapping!$G$2:$G$54,"Decision support, monitoring &amp; diagnosis")</x:f>
        <x:v>1</x:v>
      </x:c>
    </x:row>
  </x:sheetData>
  <x:mergeCells>
    <x:mergeCell ref="A1:F2"/>
  </x:mergeCells>
  <x:pageMargins left="0.7" right="0.7" top="0.75" bottom="0.75" header="0.3" footer="0.3"/>
  <x:drawing xmlns:r="http://schemas.openxmlformats.org/officeDocument/2006/relationships" r:id="Rd9adb1b9092c4766"/>
</x:worksheet>
</file>